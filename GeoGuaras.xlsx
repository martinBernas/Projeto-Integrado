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savbrm-my.sharepoint.com/personal/martinbm_edu_unisinos_br/Documents/Projeto Integrado/Projeto Integrado/"/>
    </mc:Choice>
  </mc:AlternateContent>
  <xr:revisionPtr revIDLastSave="948" documentId="8_{81EEC087-4301-8B41-BBFC-56914589C90D}" xr6:coauthVersionLast="47" xr6:coauthVersionMax="47" xr10:uidLastSave="{BC5F4210-5216-4811-B0BB-DE80BDC90615}"/>
  <bookViews>
    <workbookView xWindow="-120" yWindow="-120" windowWidth="29040" windowHeight="15720" activeTab="1" xr2:uid="{0320343C-899E-D54C-B7D5-A152FE8A22A6}"/>
  </bookViews>
  <sheets>
    <sheet name="geral" sheetId="2" r:id="rId1"/>
    <sheet name="Diario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8" i="1" l="1" a="1"/>
  <c r="E18" i="1" s="1"/>
  <c r="D8" i="2" s="1"/>
  <c r="F18" i="1" a="1"/>
  <c r="F18" i="1" s="1"/>
  <c r="G18" i="1" a="1"/>
  <c r="G18" i="1" s="1"/>
  <c r="F8" i="2" s="1"/>
  <c r="H18" i="1" a="1"/>
  <c r="H18" i="1" s="1"/>
  <c r="G8" i="2" s="1"/>
  <c r="I18" i="1" a="1"/>
  <c r="I18" i="1" s="1"/>
  <c r="J18" i="1" a="1"/>
  <c r="J18" i="1" s="1"/>
  <c r="K18" i="1" a="1"/>
  <c r="K18" i="1" s="1"/>
  <c r="J9" i="2" s="1"/>
  <c r="L18" i="1" a="1"/>
  <c r="L18" i="1" s="1"/>
  <c r="K3" i="2" s="1"/>
  <c r="M18" i="1" a="1"/>
  <c r="M18" i="1" s="1"/>
  <c r="L5" i="2" s="1"/>
  <c r="N18" i="1" a="1"/>
  <c r="N18" i="1" s="1"/>
  <c r="M10" i="2" s="1"/>
  <c r="O18" i="1" a="1"/>
  <c r="O18" i="1" s="1"/>
  <c r="N4" i="2" s="1"/>
  <c r="P18" i="1" a="1"/>
  <c r="P18" i="1" s="1"/>
  <c r="O3" i="2" s="1"/>
  <c r="Q18" i="1" a="1"/>
  <c r="Q18" i="1" s="1"/>
  <c r="P3" i="2" s="1"/>
  <c r="R18" i="1" a="1"/>
  <c r="R18" i="1" s="1"/>
  <c r="S18" i="1" a="1"/>
  <c r="S18" i="1" s="1"/>
  <c r="S13" i="2" s="1"/>
  <c r="T18" i="1" a="1"/>
  <c r="T18" i="1" s="1"/>
  <c r="T6" i="2" s="1"/>
  <c r="U18" i="1" a="1"/>
  <c r="U18" i="1" s="1"/>
  <c r="V18" i="1" a="1"/>
  <c r="V18" i="1" s="1"/>
  <c r="W18" i="1" a="1"/>
  <c r="W18" i="1" s="1"/>
  <c r="X18" i="1" a="1"/>
  <c r="X18" i="1" s="1"/>
  <c r="Y18" i="1" a="1"/>
  <c r="Y18" i="1" s="1"/>
  <c r="Z18" i="1" a="1"/>
  <c r="Z18" i="1" s="1"/>
  <c r="AA18" i="1" a="1"/>
  <c r="AA18" i="1" s="1"/>
  <c r="AB18" i="1" a="1"/>
  <c r="AB18" i="1" s="1"/>
  <c r="AC18" i="1" a="1"/>
  <c r="AC18" i="1" s="1"/>
  <c r="AC6" i="2" s="1"/>
  <c r="AD18" i="1" a="1"/>
  <c r="AD18" i="1" s="1"/>
  <c r="AE18" i="1" a="1"/>
  <c r="AE18" i="1" s="1"/>
  <c r="AF18" i="1" a="1"/>
  <c r="AF18" i="1" s="1"/>
  <c r="AG18" i="1" a="1"/>
  <c r="AG18" i="1" s="1"/>
  <c r="AH18" i="1" a="1"/>
  <c r="AH18" i="1" s="1"/>
  <c r="AI18" i="1" a="1"/>
  <c r="AI18" i="1" s="1"/>
  <c r="AJ18" i="1" a="1"/>
  <c r="AJ18" i="1" s="1"/>
  <c r="AK18" i="1" a="1"/>
  <c r="AK18" i="1" s="1"/>
  <c r="AL18" i="1" a="1"/>
  <c r="AL18" i="1" s="1"/>
  <c r="AM18" i="1" a="1"/>
  <c r="AM18" i="1" s="1"/>
  <c r="D18" i="1" a="1"/>
  <c r="D18" i="1" s="1"/>
  <c r="AQ15" i="2"/>
  <c r="AP15" i="2"/>
  <c r="AO15" i="2"/>
  <c r="AQ13" i="2"/>
  <c r="AQ14" i="2"/>
  <c r="AP13" i="2"/>
  <c r="AP14" i="2"/>
  <c r="AO13" i="2"/>
  <c r="AO14" i="2"/>
  <c r="R13" i="2"/>
  <c r="R14" i="2"/>
  <c r="A2" i="2"/>
  <c r="S1" i="2"/>
  <c r="S7" i="2" s="1"/>
  <c r="P12" i="2"/>
  <c r="AO3" i="2"/>
  <c r="AP3" i="2"/>
  <c r="AQ3" i="2"/>
  <c r="AO4" i="2"/>
  <c r="AP4" i="2"/>
  <c r="AQ4" i="2"/>
  <c r="AO5" i="2"/>
  <c r="AP5" i="2"/>
  <c r="AQ5" i="2"/>
  <c r="AO6" i="2"/>
  <c r="AP6" i="2"/>
  <c r="AQ6" i="2"/>
  <c r="AO7" i="2"/>
  <c r="AP7" i="2"/>
  <c r="AQ7" i="2"/>
  <c r="AO8" i="2"/>
  <c r="AP8" i="2"/>
  <c r="AQ8" i="2"/>
  <c r="AO9" i="2"/>
  <c r="AP9" i="2"/>
  <c r="AQ9" i="2"/>
  <c r="AO10" i="2"/>
  <c r="AP10" i="2"/>
  <c r="AQ10" i="2"/>
  <c r="AO11" i="2"/>
  <c r="AP11" i="2"/>
  <c r="AQ11" i="2"/>
  <c r="Q12" i="2"/>
  <c r="AO12" i="2"/>
  <c r="AP12" i="2"/>
  <c r="AQ12" i="2"/>
  <c r="AO2" i="2"/>
  <c r="AP2" i="2"/>
  <c r="AQ2" i="2"/>
  <c r="T1" i="2"/>
  <c r="T7" i="2" s="1"/>
  <c r="U1" i="2"/>
  <c r="U6" i="2" s="1"/>
  <c r="V1" i="2"/>
  <c r="V7" i="2" s="1"/>
  <c r="W1" i="2"/>
  <c r="W7" i="2" s="1"/>
  <c r="X1" i="2"/>
  <c r="X7" i="2" s="1"/>
  <c r="Y1" i="2"/>
  <c r="Y7" i="2" s="1"/>
  <c r="Z1" i="2"/>
  <c r="Z7" i="2" s="1"/>
  <c r="AA1" i="2"/>
  <c r="AA7" i="2" s="1"/>
  <c r="AB1" i="2"/>
  <c r="AB7" i="2" s="1"/>
  <c r="AC1" i="2"/>
  <c r="AC7" i="2" s="1"/>
  <c r="AD1" i="2"/>
  <c r="AD7" i="2" s="1"/>
  <c r="AE1" i="2"/>
  <c r="AF1" i="2"/>
  <c r="AG1" i="2"/>
  <c r="AH1" i="2"/>
  <c r="AH3" i="2" s="1"/>
  <c r="AI1" i="2"/>
  <c r="AI3" i="2" s="1"/>
  <c r="AJ1" i="2"/>
  <c r="AJ10" i="2" s="1"/>
  <c r="AK1" i="2"/>
  <c r="AL1" i="2"/>
  <c r="AL4" i="2" s="1"/>
  <c r="AM1" i="2"/>
  <c r="AM4" i="2" s="1"/>
  <c r="AO1" i="2"/>
  <c r="AP1" i="2"/>
  <c r="AQ1" i="2"/>
  <c r="Q7" i="2"/>
  <c r="Q9" i="2"/>
  <c r="E10" i="2"/>
  <c r="F10" i="2"/>
  <c r="G10" i="2"/>
  <c r="H10" i="2"/>
  <c r="I10" i="2"/>
  <c r="J10" i="2"/>
  <c r="K10" i="2"/>
  <c r="L10" i="2"/>
  <c r="D10" i="2"/>
  <c r="O7" i="2"/>
  <c r="M2" i="2"/>
  <c r="M7" i="2"/>
  <c r="N7" i="2"/>
  <c r="N9" i="2"/>
  <c r="J2" i="2"/>
  <c r="K2" i="2"/>
  <c r="L2" i="2"/>
  <c r="L6" i="2"/>
  <c r="K7" i="2"/>
  <c r="L7" i="2"/>
  <c r="K9" i="2"/>
  <c r="I7" i="2"/>
  <c r="F2" i="2"/>
  <c r="F3" i="2"/>
  <c r="G3" i="2"/>
  <c r="H3" i="2"/>
  <c r="H4" i="2"/>
  <c r="G7" i="2"/>
  <c r="H7" i="2"/>
  <c r="G9" i="2"/>
  <c r="H9" i="2"/>
  <c r="F7" i="2"/>
  <c r="E7" i="2"/>
  <c r="AD5" i="2" l="1"/>
  <c r="U7" i="2"/>
  <c r="AG9" i="2"/>
  <c r="AF6" i="2"/>
  <c r="AE6" i="2"/>
  <c r="AK4" i="2"/>
  <c r="AK16" i="2"/>
  <c r="AC16" i="2"/>
  <c r="AM16" i="2"/>
  <c r="AL16" i="2"/>
  <c r="AJ16" i="2"/>
  <c r="AH16" i="2"/>
  <c r="AG16" i="2"/>
  <c r="AF16" i="2"/>
  <c r="AE16" i="2"/>
  <c r="AI16" i="2"/>
  <c r="AD16" i="2"/>
  <c r="AC15" i="2"/>
  <c r="AC5" i="2"/>
  <c r="AD15" i="2"/>
  <c r="AI15" i="2"/>
  <c r="AH15" i="2"/>
  <c r="AJ15" i="2"/>
  <c r="AM15" i="2"/>
  <c r="AL15" i="2"/>
  <c r="AK15" i="2"/>
  <c r="AG15" i="2"/>
  <c r="AF15" i="2"/>
  <c r="AE15" i="2"/>
  <c r="X10" i="2"/>
  <c r="AB5" i="2"/>
  <c r="AA4" i="2"/>
  <c r="Z4" i="2"/>
  <c r="Y4" i="2"/>
  <c r="W3" i="2"/>
  <c r="W8" i="2"/>
  <c r="AJ14" i="2"/>
  <c r="AI14" i="2"/>
  <c r="AM13" i="2"/>
  <c r="AH14" i="2"/>
  <c r="AL13" i="2"/>
  <c r="AB14" i="2"/>
  <c r="AI13" i="2"/>
  <c r="X14" i="2"/>
  <c r="AA13" i="2"/>
  <c r="W14" i="2"/>
  <c r="Z13" i="2"/>
  <c r="R12" i="2"/>
  <c r="X13" i="2"/>
  <c r="W13" i="2"/>
  <c r="V9" i="2"/>
  <c r="S11" i="2"/>
  <c r="S14" i="2"/>
  <c r="AE13" i="2"/>
  <c r="AM14" i="2"/>
  <c r="AA14" i="2"/>
  <c r="AD13" i="2"/>
  <c r="AL14" i="2"/>
  <c r="Z14" i="2"/>
  <c r="AC13" i="2"/>
  <c r="T11" i="2"/>
  <c r="AF14" i="2"/>
  <c r="U14" i="2"/>
  <c r="AK14" i="2"/>
  <c r="Y14" i="2"/>
  <c r="AB13" i="2"/>
  <c r="AK13" i="2"/>
  <c r="Y13" i="2"/>
  <c r="T13" i="2"/>
  <c r="U12" i="2"/>
  <c r="T12" i="2"/>
  <c r="AG14" i="2"/>
  <c r="V14" i="2"/>
  <c r="AJ13" i="2"/>
  <c r="T10" i="2"/>
  <c r="AE14" i="2"/>
  <c r="T14" i="2"/>
  <c r="AH13" i="2"/>
  <c r="T9" i="2"/>
  <c r="AD14" i="2"/>
  <c r="AG13" i="2"/>
  <c r="V13" i="2"/>
  <c r="T8" i="2"/>
  <c r="AC14" i="2"/>
  <c r="AF13" i="2"/>
  <c r="U13" i="2"/>
  <c r="S2" i="2"/>
  <c r="AA10" i="2"/>
  <c r="Z10" i="2"/>
  <c r="AL2" i="2"/>
  <c r="AI2" i="2"/>
  <c r="AC8" i="2"/>
  <c r="AA2" i="2"/>
  <c r="U8" i="2"/>
  <c r="W2" i="2"/>
  <c r="W12" i="2"/>
  <c r="AC4" i="2"/>
  <c r="AM11" i="2"/>
  <c r="AC11" i="2"/>
  <c r="AC10" i="2"/>
  <c r="Z2" i="2"/>
  <c r="AL11" i="2"/>
  <c r="AM9" i="2"/>
  <c r="AB6" i="2"/>
  <c r="AC3" i="2"/>
  <c r="X2" i="2"/>
  <c r="AD11" i="2"/>
  <c r="AL9" i="2"/>
  <c r="AA6" i="2"/>
  <c r="AB3" i="2"/>
  <c r="AI9" i="2"/>
  <c r="AM7" i="2"/>
  <c r="Z6" i="2"/>
  <c r="AA3" i="2"/>
  <c r="AI12" i="2"/>
  <c r="AB11" i="2"/>
  <c r="AA9" i="2"/>
  <c r="AL7" i="2"/>
  <c r="AM5" i="2"/>
  <c r="Z3" i="2"/>
  <c r="AF12" i="2"/>
  <c r="AA11" i="2"/>
  <c r="Z9" i="2"/>
  <c r="AL5" i="2"/>
  <c r="AE12" i="2"/>
  <c r="Z11" i="2"/>
  <c r="W9" i="2"/>
  <c r="AA5" i="2"/>
  <c r="AD12" i="2"/>
  <c r="AM10" i="2"/>
  <c r="AI8" i="2"/>
  <c r="Z5" i="2"/>
  <c r="AM2" i="2"/>
  <c r="AC12" i="2"/>
  <c r="AL10" i="2"/>
  <c r="AF8" i="2"/>
  <c r="AE4" i="2"/>
  <c r="AE8" i="2"/>
  <c r="AJ2" i="2"/>
  <c r="AB10" i="2"/>
  <c r="AD8" i="2"/>
  <c r="AM6" i="2"/>
  <c r="T4" i="2"/>
  <c r="AL6" i="2"/>
  <c r="AM3" i="2"/>
  <c r="AL3" i="2"/>
  <c r="S5" i="2"/>
  <c r="AJ12" i="2"/>
  <c r="X12" i="2"/>
  <c r="AG11" i="2"/>
  <c r="V11" i="2"/>
  <c r="AD10" i="2"/>
  <c r="AJ8" i="2"/>
  <c r="X8" i="2"/>
  <c r="AG7" i="2"/>
  <c r="AD6" i="2"/>
  <c r="AJ4" i="2"/>
  <c r="X4" i="2"/>
  <c r="AG3" i="2"/>
  <c r="V3" i="2"/>
  <c r="AI4" i="2"/>
  <c r="W4" i="2"/>
  <c r="AF3" i="2"/>
  <c r="U3" i="2"/>
  <c r="AF11" i="2"/>
  <c r="U11" i="2"/>
  <c r="AF7" i="2"/>
  <c r="AK2" i="2"/>
  <c r="Y2" i="2"/>
  <c r="AH12" i="2"/>
  <c r="AE11" i="2"/>
  <c r="AK9" i="2"/>
  <c r="Y9" i="2"/>
  <c r="AH8" i="2"/>
  <c r="AE7" i="2"/>
  <c r="AK5" i="2"/>
  <c r="Y5" i="2"/>
  <c r="AH4" i="2"/>
  <c r="AE3" i="2"/>
  <c r="T3" i="2"/>
  <c r="AG12" i="2"/>
  <c r="V12" i="2"/>
  <c r="AJ9" i="2"/>
  <c r="X9" i="2"/>
  <c r="AG8" i="2"/>
  <c r="V8" i="2"/>
  <c r="AJ5" i="2"/>
  <c r="X5" i="2"/>
  <c r="AG4" i="2"/>
  <c r="V4" i="2"/>
  <c r="AD3" i="2"/>
  <c r="AI5" i="2"/>
  <c r="W5" i="2"/>
  <c r="AF4" i="2"/>
  <c r="U4" i="2"/>
  <c r="AJ6" i="2"/>
  <c r="X6" i="2"/>
  <c r="AG5" i="2"/>
  <c r="V5" i="2"/>
  <c r="AD4" i="2"/>
  <c r="AF2" i="2"/>
  <c r="U2" i="2"/>
  <c r="AI10" i="2"/>
  <c r="W10" i="2"/>
  <c r="AF9" i="2"/>
  <c r="U9" i="2"/>
  <c r="S10" i="2"/>
  <c r="AE2" i="2"/>
  <c r="T2" i="2"/>
  <c r="AB12" i="2"/>
  <c r="AK11" i="2"/>
  <c r="Y11" i="2"/>
  <c r="AH10" i="2"/>
  <c r="AE9" i="2"/>
  <c r="AB8" i="2"/>
  <c r="AK7" i="2"/>
  <c r="AH6" i="2"/>
  <c r="AE5" i="2"/>
  <c r="T5" i="2"/>
  <c r="AB4" i="2"/>
  <c r="AK3" i="2"/>
  <c r="Y3" i="2"/>
  <c r="AH2" i="2"/>
  <c r="AK10" i="2"/>
  <c r="Y10" i="2"/>
  <c r="AH9" i="2"/>
  <c r="AI6" i="2"/>
  <c r="W6" i="2"/>
  <c r="AF5" i="2"/>
  <c r="U5" i="2"/>
  <c r="S9" i="2"/>
  <c r="AD2" i="2"/>
  <c r="AM12" i="2"/>
  <c r="AA12" i="2"/>
  <c r="AJ11" i="2"/>
  <c r="X11" i="2"/>
  <c r="AG10" i="2"/>
  <c r="V10" i="2"/>
  <c r="AD9" i="2"/>
  <c r="AM8" i="2"/>
  <c r="AA8" i="2"/>
  <c r="AJ7" i="2"/>
  <c r="AG6" i="2"/>
  <c r="V6" i="2"/>
  <c r="AJ3" i="2"/>
  <c r="X3" i="2"/>
  <c r="AK6" i="2"/>
  <c r="Y6" i="2"/>
  <c r="AH5" i="2"/>
  <c r="AG2" i="2"/>
  <c r="V2" i="2"/>
  <c r="AC2" i="2"/>
  <c r="AL12" i="2"/>
  <c r="Z12" i="2"/>
  <c r="AI11" i="2"/>
  <c r="W11" i="2"/>
  <c r="AF10" i="2"/>
  <c r="U10" i="2"/>
  <c r="AC9" i="2"/>
  <c r="AL8" i="2"/>
  <c r="Z8" i="2"/>
  <c r="AI7" i="2"/>
  <c r="AB2" i="2"/>
  <c r="AK12" i="2"/>
  <c r="Y12" i="2"/>
  <c r="AH11" i="2"/>
  <c r="AE10" i="2"/>
  <c r="AB9" i="2"/>
  <c r="AK8" i="2"/>
  <c r="Y8" i="2"/>
  <c r="AH7" i="2"/>
  <c r="S6" i="2"/>
  <c r="S12" i="2"/>
  <c r="S4" i="2"/>
  <c r="S3" i="2"/>
  <c r="S8" i="2"/>
  <c r="Q11" i="2"/>
  <c r="Q2" i="2"/>
  <c r="Q6" i="2"/>
  <c r="Q3" i="2"/>
  <c r="Q8" i="2"/>
  <c r="Q4" i="2"/>
  <c r="Q5" i="2"/>
  <c r="Q10" i="2"/>
  <c r="P11" i="2"/>
  <c r="N2" i="2"/>
  <c r="P2" i="2"/>
  <c r="M9" i="2"/>
  <c r="M8" i="2"/>
  <c r="P5" i="2"/>
  <c r="P8" i="2"/>
  <c r="P10" i="2"/>
  <c r="P9" i="2"/>
  <c r="P7" i="2"/>
  <c r="P6" i="2"/>
  <c r="P4" i="2"/>
  <c r="O10" i="2"/>
  <c r="O9" i="2"/>
  <c r="O6" i="2"/>
  <c r="O5" i="2"/>
  <c r="O2" i="2"/>
  <c r="O8" i="2"/>
  <c r="O4" i="2"/>
  <c r="N8" i="2"/>
  <c r="N5" i="2"/>
  <c r="N6" i="2"/>
  <c r="N3" i="2"/>
  <c r="N10" i="2"/>
  <c r="M5" i="2"/>
  <c r="M6" i="2"/>
  <c r="M4" i="2"/>
  <c r="M3" i="2"/>
  <c r="L9" i="2"/>
  <c r="L8" i="2"/>
  <c r="L4" i="2"/>
  <c r="L3" i="2"/>
  <c r="K6" i="2"/>
  <c r="K8" i="2"/>
  <c r="K4" i="2"/>
  <c r="K5" i="2"/>
  <c r="J4" i="2"/>
  <c r="J5" i="2"/>
  <c r="J8" i="2"/>
  <c r="J7" i="2"/>
  <c r="J3" i="2"/>
  <c r="J6" i="2"/>
  <c r="I5" i="2"/>
  <c r="I9" i="2"/>
  <c r="I8" i="2"/>
  <c r="I2" i="2"/>
  <c r="I3" i="2"/>
  <c r="I4" i="2"/>
  <c r="I6" i="2"/>
  <c r="E2" i="2"/>
  <c r="E3" i="2"/>
  <c r="H6" i="2"/>
  <c r="H8" i="2"/>
  <c r="H5" i="2"/>
  <c r="H2" i="2"/>
  <c r="G6" i="2"/>
  <c r="G2" i="2"/>
  <c r="G4" i="2"/>
  <c r="G5" i="2"/>
  <c r="F6" i="2"/>
  <c r="F9" i="2"/>
  <c r="F4" i="2"/>
  <c r="F5" i="2"/>
  <c r="E9" i="2"/>
  <c r="E4" i="2"/>
  <c r="E5" i="2"/>
  <c r="E6" i="2"/>
  <c r="E8" i="2"/>
  <c r="D6" i="2"/>
  <c r="D7" i="2"/>
  <c r="C3" i="2"/>
  <c r="C4" i="2"/>
  <c r="C5" i="2"/>
  <c r="C6" i="2"/>
  <c r="C7" i="2"/>
  <c r="C8" i="2"/>
  <c r="C9" i="2"/>
  <c r="C2" i="2"/>
  <c r="D3" i="2"/>
  <c r="D4" i="2"/>
  <c r="D5" i="2"/>
  <c r="D9" i="2"/>
  <c r="D2" i="2"/>
  <c r="AN16" i="2" l="1"/>
  <c r="AR16" i="2" s="1"/>
  <c r="AN15" i="2"/>
  <c r="AR15" i="2" s="1"/>
  <c r="R8" i="2"/>
  <c r="R4" i="2"/>
  <c r="R10" i="2"/>
  <c r="AN14" i="2"/>
  <c r="AR14" i="2" s="1"/>
  <c r="AN13" i="2"/>
  <c r="AR13" i="2" s="1"/>
  <c r="R9" i="2"/>
  <c r="R7" i="2"/>
  <c r="R6" i="2"/>
  <c r="R5" i="2"/>
  <c r="R11" i="2"/>
  <c r="R3" i="2"/>
  <c r="AN9" i="2"/>
  <c r="AN11" i="2"/>
  <c r="AN12" i="2"/>
  <c r="AR12" i="2" s="1"/>
  <c r="AN5" i="2"/>
  <c r="AN6" i="2"/>
  <c r="AN7" i="2"/>
  <c r="AN10" i="2"/>
  <c r="AR10" i="2" s="1"/>
  <c r="AN8" i="2"/>
  <c r="AR8" i="2" s="1"/>
  <c r="AN3" i="2"/>
  <c r="AN4" i="2"/>
  <c r="AN2" i="2"/>
  <c r="R2" i="2"/>
  <c r="V20" i="2" l="1"/>
  <c r="U20" i="2" s="1"/>
  <c r="V21" i="2"/>
  <c r="U21" i="2" s="1"/>
  <c r="V33" i="2"/>
  <c r="U33" i="2" s="1"/>
  <c r="V22" i="2"/>
  <c r="U22" i="2" s="1"/>
  <c r="V34" i="2"/>
  <c r="U34" i="2" s="1"/>
  <c r="V23" i="2"/>
  <c r="U23" i="2" s="1"/>
  <c r="V24" i="2"/>
  <c r="U24" i="2" s="1"/>
  <c r="V25" i="2"/>
  <c r="U25" i="2" s="1"/>
  <c r="V26" i="2"/>
  <c r="U26" i="2" s="1"/>
  <c r="V27" i="2"/>
  <c r="U27" i="2" s="1"/>
  <c r="V28" i="2"/>
  <c r="U28" i="2" s="1"/>
  <c r="V29" i="2"/>
  <c r="U29" i="2" s="1"/>
  <c r="V30" i="2"/>
  <c r="U30" i="2" s="1"/>
  <c r="V31" i="2"/>
  <c r="U31" i="2" s="1"/>
  <c r="V32" i="2"/>
  <c r="U32" i="2" s="1"/>
  <c r="AR11" i="2"/>
  <c r="AR5" i="2"/>
  <c r="AR7" i="2"/>
  <c r="AR9" i="2"/>
  <c r="AR6" i="2"/>
  <c r="M22" i="2"/>
  <c r="L22" i="2" s="1"/>
  <c r="M23" i="2"/>
  <c r="L23" i="2" s="1"/>
  <c r="M24" i="2"/>
  <c r="L24" i="2" s="1"/>
  <c r="M25" i="2"/>
  <c r="L25" i="2" s="1"/>
  <c r="M26" i="2"/>
  <c r="L26" i="2" s="1"/>
  <c r="M27" i="2"/>
  <c r="L27" i="2" s="1"/>
  <c r="M28" i="2"/>
  <c r="L28" i="2" s="1"/>
  <c r="M29" i="2"/>
  <c r="L29" i="2" s="1"/>
  <c r="M30" i="2"/>
  <c r="L30" i="2" s="1"/>
  <c r="M31" i="2"/>
  <c r="L31" i="2" s="1"/>
  <c r="M32" i="2"/>
  <c r="L32" i="2" s="1"/>
  <c r="M21" i="2"/>
  <c r="L21" i="2" s="1"/>
  <c r="AR4" i="2"/>
  <c r="AR3" i="2"/>
  <c r="AR2" i="2"/>
  <c r="F25" i="2" l="1"/>
  <c r="E25" i="2" s="1"/>
  <c r="F23" i="2"/>
  <c r="E23" i="2" s="1"/>
  <c r="F21" i="2"/>
  <c r="E21" i="2" s="1"/>
  <c r="F29" i="2"/>
  <c r="E29" i="2" s="1"/>
  <c r="F27" i="2"/>
  <c r="E27" i="2" s="1"/>
  <c r="F28" i="2"/>
  <c r="E28" i="2" s="1"/>
  <c r="F26" i="2"/>
  <c r="E26" i="2" s="1"/>
  <c r="F24" i="2"/>
  <c r="E24" i="2" s="1"/>
  <c r="F31" i="2"/>
  <c r="E31" i="2" s="1"/>
  <c r="F30" i="2"/>
  <c r="E30" i="2" s="1"/>
  <c r="F22" i="2"/>
  <c r="E2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<sst xmlns="http://schemas.openxmlformats.org/spreadsheetml/2006/main" count="75" uniqueCount="53">
  <si>
    <t>Nome</t>
  </si>
  <si>
    <t>previo</t>
  </si>
  <si>
    <t>Resultado Agosto</t>
  </si>
  <si>
    <t>Resultado Setembro</t>
  </si>
  <si>
    <t>acumulado</t>
  </si>
  <si>
    <t>Luca</t>
  </si>
  <si>
    <t>Martin</t>
  </si>
  <si>
    <t>Fabio</t>
  </si>
  <si>
    <t>Arthur</t>
  </si>
  <si>
    <t>Ramiro</t>
  </si>
  <si>
    <t>Tales</t>
  </si>
  <si>
    <t>Diana</t>
  </si>
  <si>
    <t>Zade</t>
  </si>
  <si>
    <t>Luiz</t>
  </si>
  <si>
    <t>Vinicius</t>
  </si>
  <si>
    <t>Eduardo</t>
  </si>
  <si>
    <t>Cristina</t>
  </si>
  <si>
    <t>Bastian</t>
  </si>
  <si>
    <t>Marcelo</t>
  </si>
  <si>
    <t>Ranking Setembro</t>
  </si>
  <si>
    <t/>
  </si>
  <si>
    <t>Ranking Geral</t>
  </si>
  <si>
    <t>Ranking Agosto</t>
  </si>
  <si>
    <t>Posicao</t>
  </si>
  <si>
    <t>Pontuacao</t>
  </si>
  <si>
    <t>Penalizacao por nao jogar</t>
  </si>
  <si>
    <t>Usuario</t>
  </si>
  <si>
    <t>Leo</t>
  </si>
  <si>
    <t>Leonardo H</t>
  </si>
  <si>
    <t>Lucacavalhojeo</t>
  </si>
  <si>
    <t>MartinBernas</t>
  </si>
  <si>
    <t>FabaoPoa</t>
  </si>
  <si>
    <t>Andrade</t>
  </si>
  <si>
    <t>taleco</t>
  </si>
  <si>
    <t>Didi98</t>
  </si>
  <si>
    <t>Zader</t>
  </si>
  <si>
    <t>Luiz Fernando</t>
  </si>
  <si>
    <t>Vinícius Ramos</t>
  </si>
  <si>
    <t>Rohr1</t>
  </si>
  <si>
    <t>Weissheimer</t>
  </si>
  <si>
    <t>Matheus Bastian</t>
  </si>
  <si>
    <t>Menor</t>
  </si>
  <si>
    <t>martin.bernasconi</t>
  </si>
  <si>
    <t>leonardohuffo</t>
  </si>
  <si>
    <t>ramos.viniciusuriel</t>
  </si>
  <si>
    <t>luizf9844</t>
  </si>
  <si>
    <t>math.9711</t>
  </si>
  <si>
    <t>fabio.teixeira.sap</t>
  </si>
  <si>
    <t>crisbobsin</t>
  </si>
  <si>
    <t>eduardobrohr2</t>
  </si>
  <si>
    <t>arthur.andrade</t>
  </si>
  <si>
    <t>dianaseibt</t>
  </si>
  <si>
    <t>tales.ocampos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</si>
</sst>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u/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indexed="64"/>
      </patternFill>
    </fill>
  </fills>
  <borders count="3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4">
    <xf numFmtId="0" fontId="0" fillId="0" borderId="0" xfId="0"/>
    <xf numFmtId="3" fontId="0" fillId="0" borderId="0" xfId="0" applyNumberFormat="1"/>
    <xf numFmtId="0" fontId="0" fillId="2" borderId="0" xfId="0" applyFill="1"/>
    <xf numFmtId="16" fontId="0" fillId="2" borderId="0" xfId="0" applyNumberFormat="1" applyFill="1"/>
    <xf numFmtId="0" fontId="1" fillId="0" borderId="0" xfId="0" applyFont="1"/>
    <xf numFmtId="16" fontId="0" fillId="2" borderId="1" xfId="0" applyNumberFormat="1" applyFill="1" applyBorder="1"/>
    <xf numFmtId="16" fontId="0" fillId="2" borderId="2" xfId="0" applyNumberFormat="1" applyFill="1" applyBorder="1"/>
    <xf numFmtId="16" fontId="0" fillId="2" borderId="3" xfId="0" applyNumberFormat="1" applyFill="1" applyBorder="1"/>
    <xf numFmtId="0" fontId="0" fillId="0" borderId="4" xfId="0" applyBorder="1"/>
    <xf numFmtId="0" fontId="0" fillId="0" borderId="5" xfId="0" applyBorder="1"/>
    <xf numFmtId="0" fontId="0" fillId="2" borderId="6" xfId="0" applyFill="1" applyBorder="1"/>
    <xf numFmtId="0" fontId="0" fillId="0" borderId="6" xfId="0" applyBorder="1"/>
    <xf numFmtId="3" fontId="0" fillId="0" borderId="6" xfId="0" applyNumberFormat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0" fillId="0" borderId="10" xfId="0" applyBorder="1"/>
    <xf numFmtId="3" fontId="0" fillId="0" borderId="11" xfId="0" applyNumberFormat="1" applyBorder="1"/>
    <xf numFmtId="16" fontId="0" fillId="3" borderId="3" xfId="0" applyNumberFormat="1" applyFill="1" applyBorder="1"/>
    <xf numFmtId="0" fontId="0" fillId="4" borderId="0" xfId="0" applyFill="1"/>
    <xf numFmtId="0" fontId="0" fillId="4" borderId="1" xfId="0" applyFill="1" applyBorder="1"/>
    <xf numFmtId="0" fontId="0" fillId="4" borderId="2" xfId="0" applyFill="1" applyBorder="1"/>
    <xf numFmtId="16" fontId="0" fillId="4" borderId="2" xfId="0" applyNumberFormat="1" applyFill="1" applyBorder="1"/>
    <xf numFmtId="16" fontId="0" fillId="4" borderId="3" xfId="0" applyNumberFormat="1" applyFill="1" applyBorder="1"/>
    <xf numFmtId="3" fontId="0" fillId="0" borderId="8" xfId="0" applyNumberFormat="1" applyBorder="1"/>
    <xf numFmtId="3" fontId="0" fillId="0" borderId="13" xfId="0" applyNumberFormat="1" applyBorder="1"/>
    <xf numFmtId="3" fontId="0" fillId="0" borderId="15" xfId="0" applyNumberFormat="1" applyBorder="1"/>
    <xf numFmtId="3" fontId="0" fillId="0" borderId="16" xfId="0" applyNumberFormat="1" applyBorder="1"/>
    <xf numFmtId="3" fontId="0" fillId="0" borderId="17" xfId="0" applyNumberFormat="1" applyBorder="1"/>
    <xf numFmtId="0" fontId="0" fillId="5" borderId="18" xfId="0" applyFill="1" applyBorder="1"/>
    <xf numFmtId="3" fontId="0" fillId="3" borderId="19" xfId="0" applyNumberFormat="1" applyFill="1" applyBorder="1"/>
    <xf numFmtId="3" fontId="0" fillId="0" borderId="9" xfId="0" applyNumberFormat="1" applyBorder="1"/>
    <xf numFmtId="0" fontId="2" fillId="0" borderId="0" xfId="1"/>
    <xf numFmtId="0" fontId="0" fillId="0" borderId="20" xfId="0" applyBorder="1"/>
    <xf numFmtId="3" fontId="0" fillId="0" borderId="20" xfId="0" applyNumberFormat="1" applyBorder="1"/>
    <xf numFmtId="3" fontId="0" fillId="0" borderId="21" xfId="0" applyNumberFormat="1" applyBorder="1"/>
    <xf numFmtId="3" fontId="0" fillId="3" borderId="22" xfId="0" applyNumberFormat="1" applyFill="1" applyBorder="1"/>
    <xf numFmtId="3" fontId="0" fillId="0" borderId="23" xfId="0" applyNumberFormat="1" applyBorder="1"/>
    <xf numFmtId="0" fontId="0" fillId="0" borderId="24" xfId="0" applyBorder="1"/>
    <xf numFmtId="3" fontId="0" fillId="0" borderId="24" xfId="0" applyNumberFormat="1" applyBorder="1"/>
    <xf numFmtId="3" fontId="0" fillId="0" borderId="25" xfId="0" applyNumberFormat="1" applyBorder="1"/>
    <xf numFmtId="0" fontId="0" fillId="0" borderId="13" xfId="0" applyBorder="1"/>
    <xf numFmtId="3" fontId="0" fillId="3" borderId="26" xfId="0" applyNumberFormat="1" applyFill="1" applyBorder="1"/>
    <xf numFmtId="3" fontId="0" fillId="3" borderId="27" xfId="0" applyNumberFormat="1" applyFill="1" applyBorder="1"/>
    <xf numFmtId="3" fontId="0" fillId="0" borderId="28" xfId="0" applyNumberFormat="1" applyBorder="1"/>
    <xf numFmtId="3" fontId="0" fillId="0" borderId="29" xfId="0" applyNumberFormat="1" applyBorder="1"/>
    <xf numFmtId="3" fontId="0" fillId="0" borderId="30" xfId="0" applyNumberFormat="1" applyBorder="1"/>
    <xf numFmtId="3" fontId="0" fillId="3" borderId="6" xfId="0" applyNumberFormat="1" applyFill="1" applyBorder="1"/>
    <xf numFmtId="0" fontId="0" fillId="0" borderId="31" xfId="0" applyBorder="1"/>
    <xf numFmtId="3" fontId="0" fillId="5" borderId="11" xfId="0" applyNumberFormat="1" applyFill="1" applyBorder="1"/>
    <xf numFmtId="0" fontId="0" fillId="0" borderId="32" xfId="0" applyBorder="1"/>
    <xf numFmtId="0" fontId="0" fillId="0" borderId="33" xfId="0" applyBorder="1"/>
    <xf numFmtId="3" fontId="0" fillId="5" borderId="34" xfId="0" applyNumberFormat="1" applyFill="1" applyBorder="1"/>
    <xf numFmtId="0" fontId="0" fillId="0" borderId="12" xfId="0" applyBorder="1"/>
    <xf numFmtId="3" fontId="0" fillId="3" borderId="13" xfId="0" applyNumberFormat="1" applyFill="1" applyBorder="1"/>
    <xf numFmtId="3" fontId="0" fillId="5" borderId="14" xfId="0" applyNumberFormat="1" applyFill="1" applyBorder="1"/>
    <xf numFmtId="3" fontId="0" fillId="6" borderId="0" xfId="0" applyNumberFormat="1" applyFill="1"/>
    <xf numFmtId="3" fontId="0" fillId="0" borderId="35" xfId="0" applyNumberFormat="1" applyBorder="1"/>
    <xf numFmtId="3" fontId="0" fillId="3" borderId="36" xfId="0" applyNumberFormat="1" applyFill="1" applyBorder="1"/>
    <xf numFmtId="3" fontId="0" fillId="3" borderId="37" xfId="0" applyNumberFormat="1" applyFill="1" applyBorder="1"/>
    <xf numFmtId="3" fontId="0" fillId="3" borderId="38" xfId="0" applyNumberFormat="1" applyFill="1" applyBorder="1"/>
    <xf numFmtId="0" fontId="0" fillId="0" borderId="0" xfId="0" quotePrefix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ustomXml" Target="../customXml/item4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eoguessr.com/user/6a4e3bc7440b64f34c10fd80" TargetMode="External"/><Relationship Id="rId3" Type="http://schemas.openxmlformats.org/officeDocument/2006/relationships/hyperlink" Target="https://www.geoguessr.com/user/671d0e95fe130faf8e40b4df" TargetMode="External"/><Relationship Id="rId7" Type="http://schemas.openxmlformats.org/officeDocument/2006/relationships/hyperlink" Target="https://www.geoguessr.com/user/6a8dc3b4a003de6e408d5ff9" TargetMode="External"/><Relationship Id="rId12" Type="http://schemas.openxmlformats.org/officeDocument/2006/relationships/hyperlink" Target="https://www.geoguessr.com/user/5d7d89ae1d19ab7b7ce3ccc2" TargetMode="External"/><Relationship Id="rId2" Type="http://schemas.openxmlformats.org/officeDocument/2006/relationships/hyperlink" Target="https://www.geoguessr.com/user/6a62453b57441f48bf825457" TargetMode="External"/><Relationship Id="rId1" Type="http://schemas.openxmlformats.org/officeDocument/2006/relationships/hyperlink" Target="https://www.geoguessr.com/user/620703192314ea0001de8bc2" TargetMode="External"/><Relationship Id="rId6" Type="http://schemas.openxmlformats.org/officeDocument/2006/relationships/hyperlink" Target="https://www.geoguessr.com/user/60dbd573c3313c000146a66e" TargetMode="External"/><Relationship Id="rId11" Type="http://schemas.openxmlformats.org/officeDocument/2006/relationships/hyperlink" Target="https://www.geoguessr.com/user/6a1719163c0aebced0e20f4e" TargetMode="External"/><Relationship Id="rId5" Type="http://schemas.openxmlformats.org/officeDocument/2006/relationships/hyperlink" Target="https://www.geoguessr.com/user/69ea41e2ec57ecc505bcc565" TargetMode="External"/><Relationship Id="rId10" Type="http://schemas.openxmlformats.org/officeDocument/2006/relationships/hyperlink" Target="https://www.geoguessr.com/user/6a4bb52b2c1f4e777e88ec73" TargetMode="External"/><Relationship Id="rId4" Type="http://schemas.openxmlformats.org/officeDocument/2006/relationships/hyperlink" Target="https://www.geoguessr.com/user/69e8f1aa1559fe8cf58b629e" TargetMode="External"/><Relationship Id="rId9" Type="http://schemas.openxmlformats.org/officeDocument/2006/relationships/hyperlink" Target="https://www.geoguessr.com/user/5da9962290bbda162464073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B41F5-60E8-084D-9E88-C3F3AB7C86D2}">
  <dimension ref="A1:AR36"/>
  <sheetViews>
    <sheetView zoomScale="118" workbookViewId="0">
      <pane xSplit="1" topLeftCell="R1" activePane="topRight" state="frozen"/>
      <selection pane="topRight" activeCell="W20" sqref="W20:W32"/>
    </sheetView>
  </sheetViews>
  <sheetFormatPr defaultColWidth="11" defaultRowHeight="15.75" customHeight="1" x14ac:dyDescent="0.25"/>
  <cols>
    <col min="10" max="10" width="18" customWidth="1"/>
    <col min="15" max="15" width="21.5" customWidth="1"/>
    <col min="18" max="18" width="15" bestFit="1" customWidth="1"/>
    <col min="19" max="19" width="11" style="8"/>
    <col min="39" max="39" width="11" style="9"/>
    <col min="40" max="40" width="17.625" bestFit="1" customWidth="1"/>
  </cols>
  <sheetData>
    <row r="1" spans="1:44" s="21" customFormat="1" ht="16.5" thickBot="1" x14ac:dyDescent="0.3">
      <c r="A1" s="22" t="s">
        <v>0</v>
      </c>
      <c r="B1" s="23" t="s">
        <v>1</v>
      </c>
      <c r="C1" s="24">
        <v>46245</v>
      </c>
      <c r="D1" s="24">
        <v>46246</v>
      </c>
      <c r="E1" s="24">
        <v>46247</v>
      </c>
      <c r="F1" s="24">
        <v>46248</v>
      </c>
      <c r="G1" s="24">
        <v>46251</v>
      </c>
      <c r="H1" s="24">
        <v>46252</v>
      </c>
      <c r="I1" s="24">
        <v>46253</v>
      </c>
      <c r="J1" s="24">
        <v>46254</v>
      </c>
      <c r="K1" s="24">
        <v>46255</v>
      </c>
      <c r="L1" s="24">
        <v>46258</v>
      </c>
      <c r="M1" s="24">
        <v>46259</v>
      </c>
      <c r="N1" s="24">
        <v>46260</v>
      </c>
      <c r="O1" s="24">
        <v>46261</v>
      </c>
      <c r="P1" s="24">
        <v>46262</v>
      </c>
      <c r="Q1" s="24">
        <v>46265</v>
      </c>
      <c r="R1" s="20" t="s">
        <v>2</v>
      </c>
      <c r="S1" s="24">
        <f>Diario!S1</f>
        <v>46266</v>
      </c>
      <c r="T1" s="24">
        <f>Diario!T1</f>
        <v>46267</v>
      </c>
      <c r="U1" s="24">
        <f>Diario!U1</f>
        <v>46268</v>
      </c>
      <c r="V1" s="24">
        <f>Diario!V1</f>
        <v>46269</v>
      </c>
      <c r="W1" s="24">
        <f>Diario!W1</f>
        <v>46273</v>
      </c>
      <c r="X1" s="24">
        <f>Diario!X1</f>
        <v>46274</v>
      </c>
      <c r="Y1" s="24">
        <f>Diario!Y1</f>
        <v>46275</v>
      </c>
      <c r="Z1" s="24">
        <f>Diario!Z1</f>
        <v>46276</v>
      </c>
      <c r="AA1" s="24">
        <f>Diario!AA1</f>
        <v>46279</v>
      </c>
      <c r="AB1" s="24">
        <f>Diario!AB1</f>
        <v>46280</v>
      </c>
      <c r="AC1" s="24">
        <f>Diario!AC1</f>
        <v>46281</v>
      </c>
      <c r="AD1" s="24">
        <f>Diario!AD1</f>
        <v>46282</v>
      </c>
      <c r="AE1" s="24">
        <f>Diario!AE1</f>
        <v>46283</v>
      </c>
      <c r="AF1" s="24">
        <f>Diario!AF1</f>
        <v>46286</v>
      </c>
      <c r="AG1" s="24">
        <f>Diario!AG1</f>
        <v>46287</v>
      </c>
      <c r="AH1" s="24">
        <f>Diario!AH1</f>
        <v>46288</v>
      </c>
      <c r="AI1" s="24">
        <f>Diario!AI1</f>
        <v>46289</v>
      </c>
      <c r="AJ1" s="24">
        <f>Diario!AJ1</f>
        <v>46290</v>
      </c>
      <c r="AK1" s="24">
        <f>Diario!AK1</f>
        <v>46293</v>
      </c>
      <c r="AL1" s="24">
        <f>Diario!AL1</f>
        <v>46294</v>
      </c>
      <c r="AM1" s="24">
        <f>Diario!AM1</f>
        <v>46295</v>
      </c>
      <c r="AN1" s="25" t="s">
        <v>3</v>
      </c>
      <c r="AO1" s="24">
        <f>Diario!AN1</f>
        <v>46296</v>
      </c>
      <c r="AP1" s="24">
        <f>Diario!AO1</f>
        <v>46297</v>
      </c>
      <c r="AQ1" s="24">
        <f>Diario!AP1</f>
        <v>46298</v>
      </c>
      <c r="AR1" s="31" t="s">
        <v>4</v>
      </c>
    </row>
    <row r="2" spans="1:44" ht="16.5" thickBot="1" x14ac:dyDescent="0.3">
      <c r="A2" s="50" t="str">
        <f>Diario!A2</f>
        <v>Leo</v>
      </c>
      <c r="B2" s="37">
        <v>8437</v>
      </c>
      <c r="C2" s="37">
        <f>IF(Diario!D$2&gt;0,Diario!D$2-Diario!$D$18,0)</f>
        <v>3334</v>
      </c>
      <c r="D2" s="37">
        <f>IF(Diario!E2&gt;0,Diario!E2-Diario!E$18,0)</f>
        <v>0</v>
      </c>
      <c r="E2" s="37">
        <f>IF(Diario!F2&gt;0,Diario!F2-Diario!F$18,0)</f>
        <v>6051</v>
      </c>
      <c r="F2" s="37">
        <f>IF(Diario!G2&gt;0,Diario!G2-Diario!G$18,0)</f>
        <v>0</v>
      </c>
      <c r="G2" s="37">
        <f>IF(Diario!H2&gt;0,Diario!H2-Diario!H$18,0)</f>
        <v>2490</v>
      </c>
      <c r="H2" s="37">
        <f>IF(Diario!I2&gt;0,Diario!I2-Diario!I$18,0)</f>
        <v>4217</v>
      </c>
      <c r="I2" s="37">
        <f>IF(Diario!J2&gt;0,Diario!J2-Diario!J$18,0)</f>
        <v>7717</v>
      </c>
      <c r="J2" s="37">
        <f>IF(Diario!K2&gt;0,Diario!K2-Diario!K$18,0)</f>
        <v>0</v>
      </c>
      <c r="K2" s="37">
        <f>IF(Diario!L2&gt;0,Diario!L2-Diario!L$18,0)</f>
        <v>0</v>
      </c>
      <c r="L2" s="37">
        <f>IF(Diario!M2&gt;0,Diario!M2-Diario!M$18,0)</f>
        <v>0</v>
      </c>
      <c r="M2" s="37">
        <f>IF(Diario!N2&gt;0,Diario!N2-Diario!N$18,0)</f>
        <v>0</v>
      </c>
      <c r="N2" s="37">
        <f>IF(Diario!O2&gt;0,Diario!O2-Diario!O$18,0)</f>
        <v>2301</v>
      </c>
      <c r="O2" s="37">
        <f>IF(Diario!P2&gt;0,Diario!P2-Diario!P$18,0)</f>
        <v>6522</v>
      </c>
      <c r="P2" s="37">
        <f>IF(Diario!Q2&gt;0,Diario!Q2-Diario!Q$18,0)</f>
        <v>10282</v>
      </c>
      <c r="Q2" s="37">
        <f>IF(Diario!R2&gt;0,Diario!R2-Diario!R$18,0)</f>
        <v>5621</v>
      </c>
      <c r="R2" s="38">
        <f>SUM(B2:Q2)</f>
        <v>56972</v>
      </c>
      <c r="S2" s="28">
        <f ca="1">IF(Diario!S2&gt;0,Diario!S2-Diario!S$18,IF(S$1&lt;TODAY(),$U$36,0))</f>
        <v>12175</v>
      </c>
      <c r="T2" s="26">
        <f ca="1">IF(Diario!T2&gt;0,Diario!T2-Diario!T$18,IF(T$1&lt;TODAY(),$U$36,0))</f>
        <v>8481</v>
      </c>
      <c r="U2" s="26">
        <f ca="1">IF(Diario!U2&gt;0,Diario!U2-Diario!U$18,IF(U$1&lt;TODAY(),$U$36,0))</f>
        <v>10033</v>
      </c>
      <c r="V2" s="26">
        <f ca="1">IF(Diario!V2&gt;0,Diario!V2-Diario!V$18,IF(V$1&lt;TODAY(),$U$36,0))</f>
        <v>5408</v>
      </c>
      <c r="W2" s="26">
        <f ca="1">IF(Diario!W2&gt;0,Diario!W2-Diario!W$18,IF(W$1&lt;TODAY(),$U$36,0))</f>
        <v>3581</v>
      </c>
      <c r="X2" s="26">
        <f ca="1">IF(Diario!X2&gt;0,Diario!X2-Diario!X$18,IF(X$1&lt;TODAY(),$U$36,0))</f>
        <v>8475</v>
      </c>
      <c r="Y2" s="26">
        <f ca="1">IF(Diario!Y2&gt;0,Diario!Y2-Diario!Y$18,IF(Y$1&lt;TODAY(),$U$36,0))</f>
        <v>9819</v>
      </c>
      <c r="Z2" s="26">
        <f ca="1">IF(Diario!Z2&gt;0,Diario!Z2-Diario!Z$18,IF(Z$1&lt;TODAY(),$U$36,0))</f>
        <v>1444</v>
      </c>
      <c r="AA2" s="26">
        <f ca="1">IF(Diario!AA2&gt;0,Diario!AA2-Diario!AA$18,IF(AA$1&lt;TODAY(),$U$36,0))</f>
        <v>8389</v>
      </c>
      <c r="AB2" s="26">
        <f ca="1">IF(Diario!AB2&gt;0,Diario!AB2-Diario!AB$18,IF(AB$1&lt;TODAY(),$U$36,0))</f>
        <v>2031</v>
      </c>
      <c r="AC2" s="26">
        <f ca="1">IF(Diario!AC2&gt;0,Diario!AC2-Diario!AC$18,IF(AC$1&lt;TODAY(),$U$36,0))</f>
        <v>8158</v>
      </c>
      <c r="AD2" s="26">
        <f ca="1">IF(Diario!AD2&gt;0,Diario!AD2-Diario!AD$18,IF(AD$1&lt;TODAY(),$U$36,0))</f>
        <v>9834</v>
      </c>
      <c r="AE2" s="26">
        <f ca="1">IF(Diario!AE2&gt;0,Diario!AE2-Diario!AE$18,IF(AE$1&lt;TODAY(),$U$36,0))</f>
        <v>15199</v>
      </c>
      <c r="AF2" s="26">
        <f ca="1">IF(Diario!AF2&gt;0,Diario!AF2-Diario!AF$18,IF(AF$1&lt;TODAY(),$U$36,0))</f>
        <v>6245</v>
      </c>
      <c r="AG2" s="26">
        <f ca="1">IF(Diario!AG2&gt;0,Diario!AG2-Diario!AG$18,IF(AG$1&lt;TODAY(),$U$36,0))</f>
        <v>2227</v>
      </c>
      <c r="AH2" s="26">
        <f ca="1">IF(Diario!AH2&gt;0,Diario!AH2-Diario!AH$18,IF(AH$1&lt;TODAY(),$U$36,0))</f>
        <v>0</v>
      </c>
      <c r="AI2" s="26">
        <f ca="1">IF(Diario!AI2&gt;0,Diario!AI2-Diario!AI$18,IF(AI$1&lt;TODAY(),$U$36,0))</f>
        <v>0</v>
      </c>
      <c r="AJ2" s="26">
        <f ca="1">IF(Diario!AJ2&gt;0,Diario!AJ2-Diario!AJ$18,IF(AJ$1&lt;TODAY(),$U$36,0))</f>
        <v>0</v>
      </c>
      <c r="AK2" s="26">
        <f ca="1">IF(Diario!AK2&gt;0,Diario!AK2-Diario!AK$18,IF(AK$1&lt;TODAY(),$U$36,0))</f>
        <v>0</v>
      </c>
      <c r="AL2" s="26">
        <f ca="1">IF(Diario!AL2&gt;0,Diario!AL2-Diario!AL$18,IF(AL$1&lt;TODAY(),$U$36,0))</f>
        <v>0</v>
      </c>
      <c r="AM2" s="33">
        <f ca="1">IF(Diario!AM2&gt;0,Diario!AM2-Diario!AM$18,IF(AM$1&lt;TODAY(),$U$36,0))</f>
        <v>0</v>
      </c>
      <c r="AN2" s="32">
        <f t="shared" ref="AN2:AN16" ca="1" si="0">SUM(S2:AM2)</f>
        <v>111499</v>
      </c>
      <c r="AO2" s="29">
        <f>IF(Diario!AN2&gt;0,Diario!AN2-Diario!AN$18,0)</f>
        <v>0</v>
      </c>
      <c r="AP2" s="12">
        <f>IF(Diario!AO2&gt;0,Diario!AO2-Diario!AO$18,0)</f>
        <v>0</v>
      </c>
      <c r="AQ2" s="12">
        <f>IF(Diario!AP2&gt;0,Diario!AP2-Diario!AP$18,0)</f>
        <v>0</v>
      </c>
      <c r="AR2" s="51">
        <f t="shared" ref="AR2:AR16" ca="1" si="1">R2+AN2</f>
        <v>168471</v>
      </c>
    </row>
    <row r="3" spans="1:44" ht="16.5" thickBot="1" x14ac:dyDescent="0.3">
      <c r="A3" s="52" t="s">
        <v>5</v>
      </c>
      <c r="B3" s="36">
        <v>3677</v>
      </c>
      <c r="C3" s="36">
        <f>Diario!D3-Diario!D$18</f>
        <v>1284</v>
      </c>
      <c r="D3" s="36">
        <f>IF(Diario!E3&gt;0,Diario!E3-Diario!E$18,0)</f>
        <v>3756</v>
      </c>
      <c r="E3" s="36">
        <f>IF(Diario!F3&gt;0,Diario!F3-Diario!F$18,0)</f>
        <v>0</v>
      </c>
      <c r="F3" s="36">
        <f>IF(Diario!G3&gt;0,Diario!G3-Diario!G$18,0)</f>
        <v>0</v>
      </c>
      <c r="G3" s="36">
        <f>IF(Diario!H3&gt;0,Diario!H3-Diario!H$18,0)</f>
        <v>0</v>
      </c>
      <c r="H3" s="36">
        <f>IF(Diario!I3&gt;0,Diario!I3-Diario!I$18,0)</f>
        <v>0</v>
      </c>
      <c r="I3" s="36">
        <f>IF(Diario!J3&gt;0,Diario!J3-Diario!J$18,0)</f>
        <v>8555</v>
      </c>
      <c r="J3" s="36">
        <f>IF(Diario!K3&gt;0,Diario!K3-Diario!K$18,0)</f>
        <v>8753</v>
      </c>
      <c r="K3" s="36">
        <f>IF(Diario!L3&gt;0,Diario!L3-Diario!L$18,0)</f>
        <v>0</v>
      </c>
      <c r="L3" s="36">
        <f>IF(Diario!M3&gt;0,Diario!M3-Diario!M$18,0)</f>
        <v>337</v>
      </c>
      <c r="M3" s="36">
        <f>IF(Diario!N3&gt;0,Diario!N3-Diario!N$18,0)</f>
        <v>1824</v>
      </c>
      <c r="N3" s="36">
        <f>IF(Diario!O3&gt;0,Diario!O3-Diario!O$18,0)</f>
        <v>1644</v>
      </c>
      <c r="O3" s="36">
        <f>IF(Diario!P3&gt;0,Diario!P3-Diario!P$18,0)</f>
        <v>1601</v>
      </c>
      <c r="P3" s="36">
        <f>IF(Diario!Q3&gt;0,Diario!Q3-Diario!Q$18,0)</f>
        <v>11789</v>
      </c>
      <c r="Q3" s="36">
        <f>IF(Diario!R3&gt;0,Diario!R3-Diario!R$18,0)</f>
        <v>3446</v>
      </c>
      <c r="R3" s="38">
        <f t="shared" ref="R3:R14" si="2">SUM(B3:Q3)</f>
        <v>46666</v>
      </c>
      <c r="S3" s="29">
        <f ca="1">IF(Diario!S3&gt;0,Diario!S3-Diario!S$18,IF(S$1&lt;TODAY(),$U$36,0))</f>
        <v>2978</v>
      </c>
      <c r="T3" s="12">
        <f ca="1">IF(Diario!T3&gt;0,Diario!T3-Diario!T$18,IF(T$1&lt;TODAY(),$U$36,0))</f>
        <v>3508</v>
      </c>
      <c r="U3" s="12">
        <f ca="1">IF(Diario!U3&gt;0,Diario!U3-Diario!U$18,IF(U$1&lt;TODAY(),$U$36,0))</f>
        <v>3544</v>
      </c>
      <c r="V3" s="12">
        <f ca="1">IF(Diario!V3&gt;0,Diario!V3-Diario!V$18,IF(V$1&lt;TODAY(),$U$36,0))</f>
        <v>4584</v>
      </c>
      <c r="W3" s="12">
        <f ca="1">IF(Diario!W3&gt;0,Diario!W3-Diario!W$18,IF(W$1&lt;TODAY(),$U$36,0))</f>
        <v>6017</v>
      </c>
      <c r="X3" s="12">
        <f ca="1">IF(Diario!X3&gt;0,Diario!X3-Diario!X$18,IF(X$1&lt;TODAY(),$U$36,0))</f>
        <v>9005</v>
      </c>
      <c r="Y3" s="12">
        <f ca="1">IF(Diario!Y3&gt;0,Diario!Y3-Diario!Y$18,IF(Y$1&lt;TODAY(),$U$36,0))</f>
        <v>2815</v>
      </c>
      <c r="Z3" s="12">
        <f ca="1">IF(Diario!Z3&gt;0,Diario!Z3-Diario!Z$18,IF(Z$1&lt;TODAY(),$U$36,0))</f>
        <v>1520</v>
      </c>
      <c r="AA3" s="12">
        <f ca="1">IF(Diario!AA3&gt;0,Diario!AA3-Diario!AA$18,IF(AA$1&lt;TODAY(),$U$36,0))</f>
        <v>6897</v>
      </c>
      <c r="AB3" s="12">
        <f ca="1">IF(Diario!AB3&gt;0,Diario!AB3-Diario!AB$18,IF(AB$1&lt;TODAY(),$U$36,0))</f>
        <v>2246</v>
      </c>
      <c r="AC3" s="12">
        <f ca="1">IF(Diario!AC3&gt;0,Diario!AC3-Diario!AC$18,IF(AC$1&lt;TODAY(),$U$36,0))</f>
        <v>8435</v>
      </c>
      <c r="AD3" s="12">
        <f ca="1">IF(Diario!AD3&gt;0,Diario!AD3-Diario!AD$18,IF(AD$1&lt;TODAY(),$U$36,0))</f>
        <v>9671</v>
      </c>
      <c r="AE3" s="12">
        <f ca="1">IF(Diario!AE3&gt;0,Diario!AE3-Diario!AE$18,IF(AE$1&lt;TODAY(),$U$36,0))</f>
        <v>-2500</v>
      </c>
      <c r="AF3" s="12">
        <f ca="1">IF(Diario!AF3&gt;0,Diario!AF3-Diario!AF$18,IF(AF$1&lt;TODAY(),$U$36,0))</f>
        <v>7337</v>
      </c>
      <c r="AG3" s="12">
        <f ca="1">IF(Diario!AG3&gt;0,Diario!AG3-Diario!AG$18,IF(AG$1&lt;TODAY(),$U$36,0))</f>
        <v>368</v>
      </c>
      <c r="AH3" s="12">
        <f ca="1">IF(Diario!AH3&gt;0,Diario!AH3-Diario!AH$18,IF(AH$1&lt;TODAY(),$U$36,0))</f>
        <v>0</v>
      </c>
      <c r="AI3" s="12">
        <f ca="1">IF(Diario!AI3&gt;0,Diario!AI3-Diario!AI$18,IF(AI$1&lt;TODAY(),$U$36,0))</f>
        <v>0</v>
      </c>
      <c r="AJ3" s="12">
        <f ca="1">IF(Diario!AJ3&gt;0,Diario!AJ3-Diario!AJ$18,IF(AJ$1&lt;TODAY(),$U$36,0))</f>
        <v>0</v>
      </c>
      <c r="AK3" s="12">
        <f ca="1">IF(Diario!AK3&gt;0,Diario!AK3-Diario!AK$18,IF(AK$1&lt;TODAY(),$U$36,0))</f>
        <v>0</v>
      </c>
      <c r="AL3" s="12">
        <f ca="1">IF(Diario!AL3&gt;0,Diario!AL3-Diario!AL$18,IF(AL$1&lt;TODAY(),$U$36,0))</f>
        <v>0</v>
      </c>
      <c r="AM3" s="19">
        <f ca="1">IF(Diario!AM3&gt;0,Diario!AM3-Diario!AM$18,IF(AM$1&lt;TODAY(),$U$36,0))</f>
        <v>0</v>
      </c>
      <c r="AN3" s="32">
        <f t="shared" ca="1" si="0"/>
        <v>66425</v>
      </c>
      <c r="AO3" s="29">
        <f>IF(Diario!AN3&gt;0,Diario!AN3-Diario!AN$18,0)</f>
        <v>0</v>
      </c>
      <c r="AP3" s="12">
        <f>IF(Diario!AO3&gt;0,Diario!AO3-Diario!AO$18,0)</f>
        <v>0</v>
      </c>
      <c r="AQ3" s="12">
        <f>IF(Diario!AP3&gt;0,Diario!AP3-Diario!AP$18,0)</f>
        <v>0</v>
      </c>
      <c r="AR3" s="51">
        <f t="shared" ca="1" si="1"/>
        <v>113091</v>
      </c>
    </row>
    <row r="4" spans="1:44" ht="16.5" thickBot="1" x14ac:dyDescent="0.3">
      <c r="A4" s="52" t="s">
        <v>6</v>
      </c>
      <c r="B4" s="36">
        <v>3149</v>
      </c>
      <c r="C4" s="36">
        <f>Diario!D4-Diario!D$18</f>
        <v>2251</v>
      </c>
      <c r="D4" s="36">
        <f>IF(Diario!E4&gt;0,Diario!E4-Diario!E$18,0)</f>
        <v>832</v>
      </c>
      <c r="E4" s="36">
        <f>IF(Diario!F4&gt;0,Diario!F4-Diario!F$18,0)</f>
        <v>4963</v>
      </c>
      <c r="F4" s="36">
        <f>IF(Diario!G4&gt;0,Diario!G4-Diario!G$18,0)</f>
        <v>0</v>
      </c>
      <c r="G4" s="36">
        <f>IF(Diario!H4&gt;0,Diario!H4-Diario!H$18,0)</f>
        <v>3139</v>
      </c>
      <c r="H4" s="36">
        <f>IF(Diario!I4&gt;0,Diario!I4-Diario!I$18,0)</f>
        <v>0</v>
      </c>
      <c r="I4" s="36">
        <f>IF(Diario!J4&gt;0,Diario!J4-Diario!J$18,0)</f>
        <v>3701</v>
      </c>
      <c r="J4" s="36">
        <f>IF(Diario!K4&gt;0,Diario!K4-Diario!K$18,0)</f>
        <v>0</v>
      </c>
      <c r="K4" s="36">
        <f>IF(Diario!L4&gt;0,Diario!L4-Diario!L$18,0)</f>
        <v>1496</v>
      </c>
      <c r="L4" s="36">
        <f>IF(Diario!M4&gt;0,Diario!M4-Diario!M$18,0)</f>
        <v>5973</v>
      </c>
      <c r="M4" s="36">
        <f>IF(Diario!N4&gt;0,Diario!N4-Diario!N$18,0)</f>
        <v>0</v>
      </c>
      <c r="N4" s="36">
        <f>IF(Diario!O4&gt;0,Diario!O4-Diario!O$18,0)</f>
        <v>1794</v>
      </c>
      <c r="O4" s="36">
        <f>IF(Diario!P4&gt;0,Diario!P4-Diario!P$18,0)</f>
        <v>2590</v>
      </c>
      <c r="P4" s="36">
        <f>IF(Diario!Q4&gt;0,Diario!Q4-Diario!Q$18,0)</f>
        <v>15109</v>
      </c>
      <c r="Q4" s="36">
        <f>IF(Diario!R4&gt;0,Diario!R4-Diario!R$18,0)</f>
        <v>3479</v>
      </c>
      <c r="R4" s="38">
        <f t="shared" si="2"/>
        <v>48476</v>
      </c>
      <c r="S4" s="29">
        <f ca="1">IF(Diario!S4&gt;0,Diario!S4-Diario!S$18,IF(S$1&lt;TODAY(),$U$36,0))</f>
        <v>9845</v>
      </c>
      <c r="T4" s="12">
        <f ca="1">IF(Diario!T4&gt;0,Diario!T4-Diario!T$18,IF(T$1&lt;TODAY(),$U$36,0))</f>
        <v>4908</v>
      </c>
      <c r="U4" s="12">
        <f ca="1">IF(Diario!U4&gt;0,Diario!U4-Diario!U$18,IF(U$1&lt;TODAY(),$U$36,0))</f>
        <v>5273</v>
      </c>
      <c r="V4" s="12">
        <f ca="1">IF(Diario!V4&gt;0,Diario!V4-Diario!V$18,IF(V$1&lt;TODAY(),$U$36,0))</f>
        <v>8328</v>
      </c>
      <c r="W4" s="12">
        <f ca="1">IF(Diario!W4&gt;0,Diario!W4-Diario!W$18,IF(W$1&lt;TODAY(),$U$36,0))</f>
        <v>3084</v>
      </c>
      <c r="X4" s="12">
        <f ca="1">IF(Diario!X4&gt;0,Diario!X4-Diario!X$18,IF(X$1&lt;TODAY(),$U$36,0))</f>
        <v>11892</v>
      </c>
      <c r="Y4" s="12">
        <f ca="1">IF(Diario!Y4&gt;0,Diario!Y4-Diario!Y$18,IF(Y$1&lt;TODAY(),$U$36,0))</f>
        <v>999</v>
      </c>
      <c r="Z4" s="12">
        <f ca="1">IF(Diario!Z4&gt;0,Diario!Z4-Diario!Z$18,IF(Z$1&lt;TODAY(),$U$36,0))</f>
        <v>8740</v>
      </c>
      <c r="AA4" s="12">
        <f ca="1">IF(Diario!AA4&gt;0,Diario!AA4-Diario!AA$18,IF(AA$1&lt;TODAY(),$U$36,0))</f>
        <v>14115</v>
      </c>
      <c r="AB4" s="12">
        <f ca="1">IF(Diario!AB4&gt;0,Diario!AB4-Diario!AB$18,IF(AB$1&lt;TODAY(),$U$36,0))</f>
        <v>2622</v>
      </c>
      <c r="AC4" s="12">
        <f ca="1">IF(Diario!AC4&gt;0,Diario!AC4-Diario!AC$18,IF(AC$1&lt;TODAY(),$U$36,0))</f>
        <v>1315</v>
      </c>
      <c r="AD4" s="12">
        <f ca="1">IF(Diario!AD4&gt;0,Diario!AD4-Diario!AD$18,IF(AD$1&lt;TODAY(),$U$36,0))</f>
        <v>5049</v>
      </c>
      <c r="AE4" s="12">
        <f ca="1">IF(Diario!AE4&gt;0,Diario!AE4-Diario!AE$18,IF(AE$1&lt;TODAY(),$U$36,0))</f>
        <v>9971</v>
      </c>
      <c r="AF4" s="12">
        <f ca="1">IF(Diario!AF4&gt;0,Diario!AF4-Diario!AF$18,IF(AF$1&lt;TODAY(),$U$36,0))</f>
        <v>10982</v>
      </c>
      <c r="AG4" s="12">
        <f ca="1">IF(Diario!AG4&gt;0,Diario!AG4-Diario!AG$18,IF(AG$1&lt;TODAY(),$U$36,0))</f>
        <v>845</v>
      </c>
      <c r="AH4" s="12">
        <f ca="1">IF(Diario!AH4&gt;0,Diario!AH4-Diario!AH$18,IF(AH$1&lt;TODAY(),$U$36,0))</f>
        <v>0</v>
      </c>
      <c r="AI4" s="12">
        <f ca="1">IF(Diario!AI4&gt;0,Diario!AI4-Diario!AI$18,IF(AI$1&lt;TODAY(),$U$36,0))</f>
        <v>0</v>
      </c>
      <c r="AJ4" s="12">
        <f ca="1">IF(Diario!AJ4&gt;0,Diario!AJ4-Diario!AJ$18,IF(AJ$1&lt;TODAY(),$U$36,0))</f>
        <v>0</v>
      </c>
      <c r="AK4" s="12">
        <f ca="1">IF(Diario!AK4&gt;0,Diario!AK4-Diario!AK$18,IF(AK$1&lt;TODAY(),$U$36,0))</f>
        <v>0</v>
      </c>
      <c r="AL4" s="12">
        <f ca="1">IF(Diario!AL4&gt;0,Diario!AL4-Diario!AL$18,IF(AL$1&lt;TODAY(),$U$36,0))</f>
        <v>0</v>
      </c>
      <c r="AM4" s="19">
        <f ca="1">IF(Diario!AM4&gt;0,Diario!AM4-Diario!AM$18,IF(AM$1&lt;TODAY(),$U$36,0))</f>
        <v>0</v>
      </c>
      <c r="AN4" s="32">
        <f t="shared" ca="1" si="0"/>
        <v>97968</v>
      </c>
      <c r="AO4" s="29">
        <f>IF(Diario!AN4&gt;0,Diario!AN4-Diario!AN$18,0)</f>
        <v>0</v>
      </c>
      <c r="AP4" s="12">
        <f>IF(Diario!AO4&gt;0,Diario!AO4-Diario!AO$18,0)</f>
        <v>0</v>
      </c>
      <c r="AQ4" s="12">
        <f>IF(Diario!AP4&gt;0,Diario!AP4-Diario!AP$18,0)</f>
        <v>0</v>
      </c>
      <c r="AR4" s="51">
        <f t="shared" ca="1" si="1"/>
        <v>146444</v>
      </c>
    </row>
    <row r="5" spans="1:44" ht="16.5" thickBot="1" x14ac:dyDescent="0.3">
      <c r="A5" s="52" t="s">
        <v>7</v>
      </c>
      <c r="B5" s="36">
        <v>12791</v>
      </c>
      <c r="C5" s="36">
        <f>Diario!D5-Diario!D$18</f>
        <v>3232</v>
      </c>
      <c r="D5" s="36">
        <f>IF(Diario!E5&gt;0,Diario!E5-Diario!E$18,0)</f>
        <v>4469</v>
      </c>
      <c r="E5" s="36">
        <f>IF(Diario!F5&gt;0,Diario!F5-Diario!F$18,0)</f>
        <v>4198</v>
      </c>
      <c r="F5" s="36">
        <f>IF(Diario!G5&gt;0,Diario!G5-Diario!G$18,0)</f>
        <v>6580</v>
      </c>
      <c r="G5" s="36">
        <f>IF(Diario!H5&gt;0,Diario!H5-Diario!H$18,0)</f>
        <v>0</v>
      </c>
      <c r="H5" s="36">
        <f>IF(Diario!I5&gt;0,Diario!I5-Diario!I$18,0)</f>
        <v>0</v>
      </c>
      <c r="I5" s="36">
        <f>IF(Diario!J5&gt;0,Diario!J5-Diario!J$18,0)</f>
        <v>0</v>
      </c>
      <c r="J5" s="36">
        <f>IF(Diario!K5&gt;0,Diario!K5-Diario!K$18,0)</f>
        <v>3819</v>
      </c>
      <c r="K5" s="36">
        <f>IF(Diario!L5&gt;0,Diario!L5-Diario!L$18,0)</f>
        <v>1839</v>
      </c>
      <c r="L5" s="36">
        <f>IF(Diario!M5&gt;0,Diario!M5-Diario!M$18,0)</f>
        <v>1259</v>
      </c>
      <c r="M5" s="36">
        <f>IF(Diario!N5&gt;0,Diario!N5-Diario!N$18,0)</f>
        <v>4081</v>
      </c>
      <c r="N5" s="36">
        <f>IF(Diario!O5&gt;0,Diario!O5-Diario!O$18,0)</f>
        <v>1510</v>
      </c>
      <c r="O5" s="36">
        <f>IF(Diario!P5&gt;0,Diario!P5-Diario!P$18,0)</f>
        <v>0</v>
      </c>
      <c r="P5" s="36">
        <f>IF(Diario!Q5&gt;0,Diario!Q5-Diario!Q$18,0)</f>
        <v>11219</v>
      </c>
      <c r="Q5" s="36">
        <f>IF(Diario!R5&gt;0,Diario!R5-Diario!R$18,0)</f>
        <v>90</v>
      </c>
      <c r="R5" s="38">
        <f t="shared" si="2"/>
        <v>55087</v>
      </c>
      <c r="S5" s="29">
        <f ca="1">IF(Diario!S5&gt;0,Diario!S5-Diario!S$18,IF(S$1&lt;TODAY(),$U$36,0))</f>
        <v>6606</v>
      </c>
      <c r="T5" s="12">
        <f ca="1">IF(Diario!T5&gt;0,Diario!T5-Diario!T$18,IF(T$1&lt;TODAY(),$U$36,0))</f>
        <v>0</v>
      </c>
      <c r="U5" s="12">
        <f ca="1">IF(Diario!U5&gt;0,Diario!U5-Diario!U$18,IF(U$1&lt;TODAY(),$U$36,0))</f>
        <v>1289</v>
      </c>
      <c r="V5" s="12">
        <f ca="1">IF(Diario!V5&gt;0,Diario!V5-Diario!V$18,IF(V$1&lt;TODAY(),$U$36,0))</f>
        <v>2893</v>
      </c>
      <c r="W5" s="12">
        <f ca="1">IF(Diario!W5&gt;0,Diario!W5-Diario!W$18,IF(W$1&lt;TODAY(),$U$36,0))</f>
        <v>10826</v>
      </c>
      <c r="X5" s="12">
        <f ca="1">IF(Diario!X5&gt;0,Diario!X5-Diario!X$18,IF(X$1&lt;TODAY(),$U$36,0))</f>
        <v>8101</v>
      </c>
      <c r="Y5" s="12">
        <f ca="1">IF(Diario!Y5&gt;0,Diario!Y5-Diario!Y$18,IF(Y$1&lt;TODAY(),$U$36,0))</f>
        <v>2313</v>
      </c>
      <c r="Z5" s="12">
        <f ca="1">IF(Diario!Z5&gt;0,Diario!Z5-Diario!Z$18,IF(Z$1&lt;TODAY(),$U$36,0))</f>
        <v>5431</v>
      </c>
      <c r="AA5" s="12">
        <f ca="1">IF(Diario!AA5&gt;0,Diario!AA5-Diario!AA$18,IF(AA$1&lt;TODAY(),$U$36,0))</f>
        <v>905</v>
      </c>
      <c r="AB5" s="12">
        <f ca="1">IF(Diario!AB5&gt;0,Diario!AB5-Diario!AB$18,IF(AB$1&lt;TODAY(),$U$36,0))</f>
        <v>2115</v>
      </c>
      <c r="AC5" s="12">
        <f ca="1">IF(Diario!AC5&gt;0,Diario!AC5-Diario!AC$18,IF(AC$1&lt;TODAY(),$U$36,0))</f>
        <v>0</v>
      </c>
      <c r="AD5" s="12">
        <f ca="1">IF(Diario!AD5&gt;0,Diario!AD5-Diario!AD$18,IF(AD$1&lt;TODAY(),$U$36,0))</f>
        <v>6641</v>
      </c>
      <c r="AE5" s="12">
        <f ca="1">IF(Diario!AE5&gt;0,Diario!AE5-Diario!AE$18,IF(AE$1&lt;TODAY(),$U$36,0))</f>
        <v>7891</v>
      </c>
      <c r="AF5" s="12">
        <f ca="1">IF(Diario!AF5&gt;0,Diario!AF5-Diario!AF$18,IF(AF$1&lt;TODAY(),$U$36,0))</f>
        <v>2579</v>
      </c>
      <c r="AG5" s="12">
        <f ca="1">IF(Diario!AG5&gt;0,Diario!AG5-Diario!AG$18,IF(AG$1&lt;TODAY(),$U$36,0))</f>
        <v>6224</v>
      </c>
      <c r="AH5" s="12">
        <f ca="1">IF(Diario!AH5&gt;0,Diario!AH5-Diario!AH$18,IF(AH$1&lt;TODAY(),$U$36,0))</f>
        <v>0</v>
      </c>
      <c r="AI5" s="12">
        <f ca="1">IF(Diario!AI5&gt;0,Diario!AI5-Diario!AI$18,IF(AI$1&lt;TODAY(),$U$36,0))</f>
        <v>0</v>
      </c>
      <c r="AJ5" s="12">
        <f ca="1">IF(Diario!AJ5&gt;0,Diario!AJ5-Diario!AJ$18,IF(AJ$1&lt;TODAY(),$U$36,0))</f>
        <v>0</v>
      </c>
      <c r="AK5" s="12">
        <f ca="1">IF(Diario!AK5&gt;0,Diario!AK5-Diario!AK$18,IF(AK$1&lt;TODAY(),$U$36,0))</f>
        <v>0</v>
      </c>
      <c r="AL5" s="12">
        <f ca="1">IF(Diario!AL5&gt;0,Diario!AL5-Diario!AL$18,IF(AL$1&lt;TODAY(),$U$36,0))</f>
        <v>0</v>
      </c>
      <c r="AM5" s="19">
        <f ca="1">IF(Diario!AM5&gt;0,Diario!AM5-Diario!AM$18,IF(AM$1&lt;TODAY(),$U$36,0))</f>
        <v>0</v>
      </c>
      <c r="AN5" s="32">
        <f t="shared" ca="1" si="0"/>
        <v>63814</v>
      </c>
      <c r="AO5" s="29">
        <f>IF(Diario!AN5&gt;0,Diario!AN5-Diario!AN$18,0)</f>
        <v>0</v>
      </c>
      <c r="AP5" s="12">
        <f>IF(Diario!AO5&gt;0,Diario!AO5-Diario!AO$18,0)</f>
        <v>0</v>
      </c>
      <c r="AQ5" s="12">
        <f>IF(Diario!AP5&gt;0,Diario!AP5-Diario!AP$18,0)</f>
        <v>0</v>
      </c>
      <c r="AR5" s="51">
        <f t="shared" ca="1" si="1"/>
        <v>118901</v>
      </c>
    </row>
    <row r="6" spans="1:44" ht="16.5" thickBot="1" x14ac:dyDescent="0.3">
      <c r="A6" s="52" t="s">
        <v>8</v>
      </c>
      <c r="B6" s="36">
        <v>7765</v>
      </c>
      <c r="C6" s="36">
        <f>Diario!D6-Diario!D$18</f>
        <v>6238</v>
      </c>
      <c r="D6" s="36">
        <f>IF(Diario!E6&gt;0,Diario!E6-Diario!E$18,0)</f>
        <v>3576</v>
      </c>
      <c r="E6" s="36">
        <f>IF(Diario!F6&gt;0,Diario!F6-Diario!F$18,0)</f>
        <v>4783</v>
      </c>
      <c r="F6" s="36">
        <f>IF(Diario!G6&gt;0,Diario!G6-Diario!G$18,0)</f>
        <v>4391</v>
      </c>
      <c r="G6" s="36">
        <f>IF(Diario!H6&gt;0,Diario!H6-Diario!H$18,0)</f>
        <v>3569</v>
      </c>
      <c r="H6" s="36">
        <f>IF(Diario!I6&gt;0,Diario!I6-Diario!I$18,0)</f>
        <v>2588</v>
      </c>
      <c r="I6" s="36">
        <f>IF(Diario!J6&gt;0,Diario!J6-Diario!J$18,0)</f>
        <v>5940</v>
      </c>
      <c r="J6" s="36">
        <f>IF(Diario!K6&gt;0,Diario!K6-Diario!K$18,0)</f>
        <v>7933</v>
      </c>
      <c r="K6" s="36">
        <f>IF(Diario!L6&gt;0,Diario!L6-Diario!L$18,0)</f>
        <v>4227</v>
      </c>
      <c r="L6" s="36">
        <f>IF(Diario!M6&gt;0,Diario!M6-Diario!M$18,0)</f>
        <v>0</v>
      </c>
      <c r="M6" s="36">
        <f>IF(Diario!N6&gt;0,Diario!N6-Diario!N$18,0)</f>
        <v>8082</v>
      </c>
      <c r="N6" s="36">
        <f>IF(Diario!O6&gt;0,Diario!O6-Diario!O$18,0)</f>
        <v>4325</v>
      </c>
      <c r="O6" s="36">
        <f>IF(Diario!P6&gt;0,Diario!P6-Diario!P$18,0)</f>
        <v>8580</v>
      </c>
      <c r="P6" s="36">
        <f>IF(Diario!Q6&gt;0,Diario!Q6-Diario!Q$18,0)</f>
        <v>6635</v>
      </c>
      <c r="Q6" s="36">
        <f>IF(Diario!R6&gt;0,Diario!R6-Diario!R$18,0)</f>
        <v>3544</v>
      </c>
      <c r="R6" s="38">
        <f t="shared" si="2"/>
        <v>82176</v>
      </c>
      <c r="S6" s="29">
        <f ca="1">IF(Diario!S6&gt;0,Diario!S6-Diario!S$18,IF(S$1&lt;TODAY(),$U$36,0))</f>
        <v>10801</v>
      </c>
      <c r="T6" s="12">
        <f ca="1">IF(Diario!T6&gt;0,Diario!T6-Diario!T$18,IF(T$1&lt;TODAY(),$U$36,0))</f>
        <v>9576</v>
      </c>
      <c r="U6" s="12">
        <f ca="1">IF(Diario!U6&gt;0,Diario!U6-Diario!U$18,IF(U$1&lt;TODAY(),$U$36,0))</f>
        <v>-2500</v>
      </c>
      <c r="V6" s="12">
        <f ca="1">IF(Diario!V6&gt;0,Diario!V6-Diario!V$18,IF(V$1&lt;TODAY(),$U$36,0))</f>
        <v>7985</v>
      </c>
      <c r="W6" s="12">
        <f ca="1">IF(Diario!W6&gt;0,Diario!W6-Diario!W$18,IF(W$1&lt;TODAY(),$U$36,0))</f>
        <v>12114</v>
      </c>
      <c r="X6" s="12">
        <f ca="1">IF(Diario!X6&gt;0,Diario!X6-Diario!X$18,IF(X$1&lt;TODAY(),$U$36,0))</f>
        <v>11956</v>
      </c>
      <c r="Y6" s="12">
        <f ca="1">IF(Diario!Y6&gt;0,Diario!Y6-Diario!Y$18,IF(Y$1&lt;TODAY(),$U$36,0))</f>
        <v>7710</v>
      </c>
      <c r="Z6" s="12">
        <f ca="1">IF(Diario!Z6&gt;0,Diario!Z6-Diario!Z$18,IF(Z$1&lt;TODAY(),$U$36,0))</f>
        <v>6853</v>
      </c>
      <c r="AA6" s="12">
        <f ca="1">IF(Diario!AA6&gt;0,Diario!AA6-Diario!AA$18,IF(AA$1&lt;TODAY(),$U$36,0))</f>
        <v>9607</v>
      </c>
      <c r="AB6" s="12">
        <f ca="1">IF(Diario!AB6&gt;0,Diario!AB6-Diario!AB$18,IF(AB$1&lt;TODAY(),$U$36,0))</f>
        <v>3554</v>
      </c>
      <c r="AC6" s="12">
        <f ca="1">IF(Diario!AC6&gt;0,Diario!AC6-Diario!AC$18,IF(AC$1&lt;TODAY(),$U$36,0))</f>
        <v>10605</v>
      </c>
      <c r="AD6" s="12">
        <f ca="1">IF(Diario!AD6&gt;0,Diario!AD6-Diario!AD$18,IF(AD$1&lt;TODAY(),$U$36,0))</f>
        <v>9110</v>
      </c>
      <c r="AE6" s="12">
        <f ca="1">IF(Diario!AE6&gt;0,Diario!AE6-Diario!AE$18,IF(AE$1&lt;TODAY(),$U$36,0))</f>
        <v>6611</v>
      </c>
      <c r="AF6" s="12">
        <f ca="1">IF(Diario!AF6&gt;0,Diario!AF6-Diario!AF$18,IF(AF$1&lt;TODAY(),$U$36,0))</f>
        <v>5731</v>
      </c>
      <c r="AG6" s="12">
        <f ca="1">IF(Diario!AG6&gt;0,Diario!AG6-Diario!AG$18,IF(AG$1&lt;TODAY(),$U$36,0))</f>
        <v>2422</v>
      </c>
      <c r="AH6" s="12">
        <f ca="1">IF(Diario!AH6&gt;0,Diario!AH6-Diario!AH$18,IF(AH$1&lt;TODAY(),$U$36,0))</f>
        <v>0</v>
      </c>
      <c r="AI6" s="12">
        <f ca="1">IF(Diario!AI6&gt;0,Diario!AI6-Diario!AI$18,IF(AI$1&lt;TODAY(),$U$36,0))</f>
        <v>0</v>
      </c>
      <c r="AJ6" s="12">
        <f ca="1">IF(Diario!AJ6&gt;0,Diario!AJ6-Diario!AJ$18,IF(AJ$1&lt;TODAY(),$U$36,0))</f>
        <v>0</v>
      </c>
      <c r="AK6" s="12">
        <f ca="1">IF(Diario!AK6&gt;0,Diario!AK6-Diario!AK$18,IF(AK$1&lt;TODAY(),$U$36,0))</f>
        <v>0</v>
      </c>
      <c r="AL6" s="12">
        <f ca="1">IF(Diario!AL6&gt;0,Diario!AL6-Diario!AL$18,IF(AL$1&lt;TODAY(),$U$36,0))</f>
        <v>0</v>
      </c>
      <c r="AM6" s="19">
        <f ca="1">IF(Diario!AM6&gt;0,Diario!AM6-Diario!AM$18,IF(AM$1&lt;TODAY(),$U$36,0))</f>
        <v>0</v>
      </c>
      <c r="AN6" s="32">
        <f t="shared" ca="1" si="0"/>
        <v>112135</v>
      </c>
      <c r="AO6" s="29">
        <f>IF(Diario!AN6&gt;0,Diario!AN6-Diario!AN$18,0)</f>
        <v>0</v>
      </c>
      <c r="AP6" s="12">
        <f>IF(Diario!AO6&gt;0,Diario!AO6-Diario!AO$18,0)</f>
        <v>0</v>
      </c>
      <c r="AQ6" s="12">
        <f>IF(Diario!AP6&gt;0,Diario!AP6-Diario!AP$18,0)</f>
        <v>0</v>
      </c>
      <c r="AR6" s="51">
        <f t="shared" ca="1" si="1"/>
        <v>194311</v>
      </c>
    </row>
    <row r="7" spans="1:44" ht="15.75" customHeight="1" thickBot="1" x14ac:dyDescent="0.3">
      <c r="A7" s="52" t="s">
        <v>9</v>
      </c>
      <c r="B7" s="35">
        <v>8379</v>
      </c>
      <c r="C7" s="35">
        <f>Diario!D7-Diario!D$18</f>
        <v>362</v>
      </c>
      <c r="D7" s="35">
        <f>IF(Diario!E7&gt;0,Diario!E7-Diario!E$18,0)</f>
        <v>723</v>
      </c>
      <c r="E7" s="35">
        <f>IF(Diario!F7&gt;0,Diario!F7-Diario!F$18,0)</f>
        <v>0</v>
      </c>
      <c r="F7" s="35">
        <f>IF(Diario!G7&gt;0,Diario!G7-Diario!G$18,0)</f>
        <v>0</v>
      </c>
      <c r="G7" s="35">
        <f>IF(Diario!H7&gt;0,Diario!H7-Diario!H$18,0)</f>
        <v>0</v>
      </c>
      <c r="H7" s="35">
        <f>IF(Diario!I7&gt;0,Diario!I7-Diario!I$18,0)</f>
        <v>0</v>
      </c>
      <c r="I7" s="35">
        <f>IF(Diario!J7&gt;0,Diario!J7-Diario!J$18,0)</f>
        <v>0</v>
      </c>
      <c r="J7" s="35">
        <f>IF(Diario!K7&gt;0,Diario!K7-Diario!K$18,0)</f>
        <v>1201</v>
      </c>
      <c r="K7" s="35">
        <f>IF(Diario!L7&gt;0,Diario!L7-Diario!L$18,0)</f>
        <v>0</v>
      </c>
      <c r="L7" s="35">
        <f>IF(Diario!M7&gt;0,Diario!M7-Diario!M$18,0)</f>
        <v>0</v>
      </c>
      <c r="M7" s="35">
        <f>IF(Diario!N7&gt;0,Diario!N7-Diario!N$18,0)</f>
        <v>0</v>
      </c>
      <c r="N7" s="35">
        <f>IF(Diario!O7&gt;0,Diario!O7-Diario!O$18,0)</f>
        <v>0</v>
      </c>
      <c r="O7" s="35">
        <f>IF(Diario!P7&gt;0,Diario!P7-Diario!P$18,0)</f>
        <v>0</v>
      </c>
      <c r="P7" s="35">
        <f>IF(Diario!Q7&gt;0,Diario!Q7-Diario!Q$18,0)</f>
        <v>0</v>
      </c>
      <c r="Q7" s="35">
        <f>IF(Diario!R7&gt;0,Diario!R7-Diario!R$18,0)</f>
        <v>0</v>
      </c>
      <c r="R7" s="38">
        <f t="shared" si="2"/>
        <v>10665</v>
      </c>
      <c r="S7" s="29">
        <f ca="1">IF(Diario!S7&gt;0,Diario!S7-Diario!S$18,IF(S$1&lt;TODAY(),$U$36,0))</f>
        <v>-2500</v>
      </c>
      <c r="T7" s="12">
        <f ca="1">IF(Diario!T7&gt;0,Diario!T7-Diario!T$18,IF(T$1&lt;TODAY(),$U$36,0))</f>
        <v>-2500</v>
      </c>
      <c r="U7" s="12">
        <f ca="1">IF(Diario!U7&gt;0,Diario!U7-Diario!U$18,IF(U$1&lt;TODAY(),$U$36,0))</f>
        <v>-2500</v>
      </c>
      <c r="V7" s="12">
        <f ca="1">IF(Diario!V7&gt;0,Diario!V7-Diario!V$18,IF(V$1&lt;TODAY(),$U$36,0))</f>
        <v>-2500</v>
      </c>
      <c r="W7" s="12">
        <f ca="1">IF(Diario!W7&gt;0,Diario!W7-Diario!W$18,IF(W$1&lt;TODAY(),$U$36,0))</f>
        <v>-2500</v>
      </c>
      <c r="X7" s="12">
        <f ca="1">IF(Diario!X7&gt;0,Diario!X7-Diario!X$18,IF(X$1&lt;TODAY(),$U$36,0))</f>
        <v>-2500</v>
      </c>
      <c r="Y7" s="12">
        <f ca="1">IF(Diario!Y7&gt;0,Diario!Y7-Diario!Y$18,IF(Y$1&lt;TODAY(),$U$36,0))</f>
        <v>-2500</v>
      </c>
      <c r="Z7" s="12">
        <f ca="1">IF(Diario!Z7&gt;0,Diario!Z7-Diario!Z$18,IF(Z$1&lt;TODAY(),$U$36,0))</f>
        <v>-2500</v>
      </c>
      <c r="AA7" s="12">
        <f ca="1">IF(Diario!AA7&gt;0,Diario!AA7-Diario!AA$18,IF(AA$1&lt;TODAY(),$U$36,0))</f>
        <v>-2500</v>
      </c>
      <c r="AB7" s="12">
        <f ca="1">IF(Diario!AB7&gt;0,Diario!AB7-Diario!AB$18,IF(AB$1&lt;TODAY(),$U$36,0))</f>
        <v>-2500</v>
      </c>
      <c r="AC7" s="12">
        <f ca="1">IF(Diario!AC7&gt;0,Diario!AC7-Diario!AC$18,IF(AC$1&lt;TODAY(),$U$36,0))</f>
        <v>-2500</v>
      </c>
      <c r="AD7" s="12">
        <f ca="1">IF(Diario!AD7&gt;0,Diario!AD7-Diario!AD$18,IF(AD$1&lt;TODAY(),$U$36,0))</f>
        <v>-2500</v>
      </c>
      <c r="AE7" s="12">
        <f ca="1">IF(Diario!AE7&gt;0,Diario!AE7-Diario!AE$18,IF(AE$1&lt;TODAY(),$U$36,0))</f>
        <v>-2500</v>
      </c>
      <c r="AF7" s="12">
        <f ca="1">IF(Diario!AF7&gt;0,Diario!AF7-Diario!AF$18,IF(AF$1&lt;TODAY(),$U$36,0))</f>
        <v>-2500</v>
      </c>
      <c r="AG7" s="12">
        <f ca="1">IF(Diario!AG7&gt;0,Diario!AG7-Diario!AG$18,IF(AG$1&lt;TODAY(),$U$36,0))</f>
        <v>0</v>
      </c>
      <c r="AH7" s="12">
        <f ca="1">IF(Diario!AH7&gt;0,Diario!AH7-Diario!AH$18,IF(AH$1&lt;TODAY(),$U$36,0))</f>
        <v>0</v>
      </c>
      <c r="AI7" s="12">
        <f ca="1">IF(Diario!AI7&gt;0,Diario!AI7-Diario!AI$18,IF(AI$1&lt;TODAY(),$U$36,0))</f>
        <v>0</v>
      </c>
      <c r="AJ7" s="12">
        <f ca="1">IF(Diario!AJ7&gt;0,Diario!AJ7-Diario!AJ$18,IF(AJ$1&lt;TODAY(),$U$36,0))</f>
        <v>0</v>
      </c>
      <c r="AK7" s="12">
        <f ca="1">IF(Diario!AK7&gt;0,Diario!AK7-Diario!AK$18,IF(AK$1&lt;TODAY(),$U$36,0))</f>
        <v>0</v>
      </c>
      <c r="AL7" s="12">
        <f ca="1">IF(Diario!AL7&gt;0,Diario!AL7-Diario!AL$18,IF(AL$1&lt;TODAY(),$U$36,0))</f>
        <v>0</v>
      </c>
      <c r="AM7" s="19">
        <f ca="1">IF(Diario!AM7&gt;0,Diario!AM7-Diario!AM$18,IF(AM$1&lt;TODAY(),$U$36,0))</f>
        <v>0</v>
      </c>
      <c r="AN7" s="32">
        <f t="shared" ca="1" si="0"/>
        <v>-35000</v>
      </c>
      <c r="AO7">
        <f>IF(Diario!AN7&gt;0,Diario!AN7-Diario!AN$18,0)</f>
        <v>0</v>
      </c>
      <c r="AP7">
        <f>IF(Diario!AO7&gt;0,Diario!AO7-Diario!AO$18,0)</f>
        <v>0</v>
      </c>
      <c r="AQ7">
        <f>IF(Diario!AP7&gt;0,Diario!AP7-Diario!AP$18,0)</f>
        <v>0</v>
      </c>
      <c r="AR7" s="51">
        <f t="shared" ca="1" si="1"/>
        <v>-24335</v>
      </c>
    </row>
    <row r="8" spans="1:44" ht="16.5" thickBot="1" x14ac:dyDescent="0.3">
      <c r="A8" s="52" t="s">
        <v>10</v>
      </c>
      <c r="B8" s="36">
        <v>15807</v>
      </c>
      <c r="C8" s="36">
        <f>Diario!D8-Diario!D$18</f>
        <v>7093</v>
      </c>
      <c r="D8" s="36">
        <f>IF(Diario!E8&gt;0,Diario!E8-Diario!E$18,0)</f>
        <v>7801</v>
      </c>
      <c r="E8" s="36">
        <f>IF(Diario!F8&gt;0,Diario!F8-Diario!F$18,0)</f>
        <v>7688</v>
      </c>
      <c r="F8" s="36">
        <f>IF(Diario!G8&gt;0,Diario!G8-Diario!G$18,0)</f>
        <v>887</v>
      </c>
      <c r="G8" s="36">
        <f>IF(Diario!H8&gt;0,Diario!H8-Diario!H$18,0)</f>
        <v>1050</v>
      </c>
      <c r="H8" s="36">
        <f>IF(Diario!I8&gt;0,Diario!I8-Diario!I$18,0)</f>
        <v>7007</v>
      </c>
      <c r="I8" s="36">
        <f>IF(Diario!J8&gt;0,Diario!J8-Diario!J$18,0)</f>
        <v>10606</v>
      </c>
      <c r="J8" s="36">
        <f>IF(Diario!K8&gt;0,Diario!K8-Diario!K$18,0)</f>
        <v>3403</v>
      </c>
      <c r="K8" s="36">
        <f>IF(Diario!L8&gt;0,Diario!L8-Diario!L$18,0)</f>
        <v>7392</v>
      </c>
      <c r="L8" s="36">
        <f>IF(Diario!M8&gt;0,Diario!M8-Diario!M$18,0)</f>
        <v>0</v>
      </c>
      <c r="M8" s="36">
        <f>IF(Diario!N8&gt;0,Diario!N8-Diario!N$18,0)</f>
        <v>5361</v>
      </c>
      <c r="N8" s="36">
        <f>IF(Diario!O8&gt;0,Diario!O8-Diario!O$18,0)</f>
        <v>3308</v>
      </c>
      <c r="O8" s="36">
        <f>IF(Diario!P8&gt;0,Diario!P8-Diario!P$18,0)</f>
        <v>6357</v>
      </c>
      <c r="P8" s="36">
        <f>IF(Diario!Q8&gt;0,Diario!Q8-Diario!Q$18,0)</f>
        <v>13101</v>
      </c>
      <c r="Q8" s="36">
        <f>IF(Diario!R8&gt;0,Diario!R8-Diario!R$18,0)</f>
        <v>4210</v>
      </c>
      <c r="R8" s="38">
        <f t="shared" si="2"/>
        <v>101071</v>
      </c>
      <c r="S8" s="29">
        <f ca="1">IF(Diario!S8&gt;0,Diario!S8-Diario!S$18,IF(S$1&lt;TODAY(),$U$36,0))</f>
        <v>10373</v>
      </c>
      <c r="T8" s="12">
        <f ca="1">IF(Diario!T8&gt;0,Diario!T8-Diario!T$18,IF(T$1&lt;TODAY(),$U$36,0))</f>
        <v>10118</v>
      </c>
      <c r="U8" s="12">
        <f ca="1">IF(Diario!U8&gt;0,Diario!U8-Diario!U$18,IF(U$1&lt;TODAY(),$U$36,0))</f>
        <v>9305</v>
      </c>
      <c r="V8" s="12">
        <f ca="1">IF(Diario!V8&gt;0,Diario!V8-Diario!V$18,IF(V$1&lt;TODAY(),$U$36,0))</f>
        <v>7157</v>
      </c>
      <c r="W8" s="12">
        <f ca="1">IF(Diario!W8&gt;0,Diario!W8-Diario!W$18,IF(W$1&lt;TODAY(),$U$36,0))</f>
        <v>10054</v>
      </c>
      <c r="X8" s="12">
        <f ca="1">IF(Diario!X8&gt;0,Diario!X8-Diario!X$18,IF(X$1&lt;TODAY(),$U$36,0))</f>
        <v>8589</v>
      </c>
      <c r="Y8" s="12">
        <f ca="1">IF(Diario!Y8&gt;0,Diario!Y8-Diario!Y$18,IF(Y$1&lt;TODAY(),$U$36,0))</f>
        <v>8953</v>
      </c>
      <c r="Z8" s="12">
        <f ca="1">IF(Diario!Z8&gt;0,Diario!Z8-Diario!Z$18,IF(Z$1&lt;TODAY(),$U$36,0))</f>
        <v>5116</v>
      </c>
      <c r="AA8" s="12">
        <f ca="1">IF(Diario!AA8&gt;0,Diario!AA8-Diario!AA$18,IF(AA$1&lt;TODAY(),$U$36,0))</f>
        <v>10504</v>
      </c>
      <c r="AB8" s="12">
        <f ca="1">IF(Diario!AB8&gt;0,Diario!AB8-Diario!AB$18,IF(AB$1&lt;TODAY(),$U$36,0))</f>
        <v>6633</v>
      </c>
      <c r="AC8" s="12">
        <f ca="1">IF(Diario!AC8&gt;0,Diario!AC8-Diario!AC$18,IF(AC$1&lt;TODAY(),$U$36,0))</f>
        <v>6693</v>
      </c>
      <c r="AD8" s="12">
        <f ca="1">IF(Diario!AD8&gt;0,Diario!AD8-Diario!AD$18,IF(AD$1&lt;TODAY(),$U$36,0))</f>
        <v>8217</v>
      </c>
      <c r="AE8" s="12">
        <f ca="1">IF(Diario!AE8&gt;0,Diario!AE8-Diario!AE$18,IF(AE$1&lt;TODAY(),$U$36,0))</f>
        <v>11862</v>
      </c>
      <c r="AF8" s="12">
        <f ca="1">IF(Diario!AF8&gt;0,Diario!AF8-Diario!AF$18,IF(AF$1&lt;TODAY(),$U$36,0))</f>
        <v>11005</v>
      </c>
      <c r="AG8" s="12">
        <f ca="1">IF(Diario!AG8&gt;0,Diario!AG8-Diario!AG$18,IF(AG$1&lt;TODAY(),$U$36,0))</f>
        <v>0</v>
      </c>
      <c r="AH8" s="12">
        <f ca="1">IF(Diario!AH8&gt;0,Diario!AH8-Diario!AH$18,IF(AH$1&lt;TODAY(),$U$36,0))</f>
        <v>0</v>
      </c>
      <c r="AI8" s="12">
        <f ca="1">IF(Diario!AI8&gt;0,Diario!AI8-Diario!AI$18,IF(AI$1&lt;TODAY(),$U$36,0))</f>
        <v>0</v>
      </c>
      <c r="AJ8" s="12">
        <f ca="1">IF(Diario!AJ8&gt;0,Diario!AJ8-Diario!AJ$18,IF(AJ$1&lt;TODAY(),$U$36,0))</f>
        <v>0</v>
      </c>
      <c r="AK8" s="12">
        <f ca="1">IF(Diario!AK8&gt;0,Diario!AK8-Diario!AK$18,IF(AK$1&lt;TODAY(),$U$36,0))</f>
        <v>0</v>
      </c>
      <c r="AL8" s="12">
        <f ca="1">IF(Diario!AL8&gt;0,Diario!AL8-Diario!AL$18,IF(AL$1&lt;TODAY(),$U$36,0))</f>
        <v>0</v>
      </c>
      <c r="AM8" s="19">
        <f ca="1">IF(Diario!AM8&gt;0,Diario!AM8-Diario!AM$18,IF(AM$1&lt;TODAY(),$U$36,0))</f>
        <v>0</v>
      </c>
      <c r="AN8" s="32">
        <f t="shared" ca="1" si="0"/>
        <v>124579</v>
      </c>
      <c r="AO8" s="29">
        <f>IF(Diario!AN8&gt;0,Diario!AN8-Diario!AN$18,0)</f>
        <v>0</v>
      </c>
      <c r="AP8" s="12">
        <f>IF(Diario!AO8&gt;0,Diario!AO8-Diario!AO$18,0)</f>
        <v>0</v>
      </c>
      <c r="AQ8" s="12">
        <f>IF(Diario!AP8&gt;0,Diario!AP8-Diario!AP$18,0)</f>
        <v>0</v>
      </c>
      <c r="AR8" s="51">
        <f t="shared" ca="1" si="1"/>
        <v>225650</v>
      </c>
    </row>
    <row r="9" spans="1:44" ht="16.5" thickBot="1" x14ac:dyDescent="0.3">
      <c r="A9" s="52" t="s">
        <v>11</v>
      </c>
      <c r="B9" s="36">
        <v>0</v>
      </c>
      <c r="C9" s="36">
        <f>Diario!D9-Diario!D$18</f>
        <v>0</v>
      </c>
      <c r="D9" s="36">
        <f>IF(Diario!E9&gt;0,Diario!E9-Diario!E$18,0)</f>
        <v>6754</v>
      </c>
      <c r="E9" s="36">
        <f>IF(Diario!F9&gt;0,Diario!F9-Diario!F$18,0)</f>
        <v>7959</v>
      </c>
      <c r="F9" s="36">
        <f>IF(Diario!G9&gt;0,Diario!G9-Diario!G$18,0)</f>
        <v>3187</v>
      </c>
      <c r="G9" s="36">
        <f>IF(Diario!H9&gt;0,Diario!H9-Diario!H$18,0)</f>
        <v>0</v>
      </c>
      <c r="H9" s="36">
        <f>IF(Diario!I9&gt;0,Diario!I9-Diario!I$18,0)</f>
        <v>0</v>
      </c>
      <c r="I9" s="36">
        <f>IF(Diario!J9&gt;0,Diario!J9-Diario!J$18,0)</f>
        <v>5375</v>
      </c>
      <c r="J9" s="36">
        <f>IF(Diario!K9&gt;0,Diario!K9-Diario!K$18,0)</f>
        <v>7231</v>
      </c>
      <c r="K9" s="36">
        <f>IF(Diario!L9&gt;0,Diario!L9-Diario!L$18,0)</f>
        <v>0</v>
      </c>
      <c r="L9" s="36">
        <f>IF(Diario!M9&gt;0,Diario!M9-Diario!M$18,0)</f>
        <v>7050</v>
      </c>
      <c r="M9" s="36">
        <f>IF(Diario!N9&gt;0,Diario!N9-Diario!N$18,0)</f>
        <v>6965</v>
      </c>
      <c r="N9" s="36">
        <f>IF(Diario!O9&gt;0,Diario!O9-Diario!O$18,0)</f>
        <v>0</v>
      </c>
      <c r="O9" s="36">
        <f>IF(Diario!P9&gt;0,Diario!P9-Diario!P$18,0)</f>
        <v>5658</v>
      </c>
      <c r="P9" s="36">
        <f>IF(Diario!Q9&gt;0,Diario!Q9-Diario!Q$18,0)</f>
        <v>16368</v>
      </c>
      <c r="Q9" s="36">
        <f>IF(Diario!R9&gt;0,Diario!R9-Diario!R$18,0)</f>
        <v>0</v>
      </c>
      <c r="R9" s="38">
        <f t="shared" si="2"/>
        <v>66547</v>
      </c>
      <c r="S9" s="29">
        <f ca="1">IF(Diario!S9&gt;0,Diario!S9-Diario!S$18,IF(S$1&lt;TODAY(),$U$36,0))</f>
        <v>0</v>
      </c>
      <c r="T9" s="12">
        <f ca="1">IF(Diario!T9&gt;0,Diario!T9-Diario!T$18,IF(T$1&lt;TODAY(),$U$36,0))</f>
        <v>9441</v>
      </c>
      <c r="U9" s="12">
        <f ca="1">IF(Diario!U9&gt;0,Diario!U9-Diario!U$18,IF(U$1&lt;TODAY(),$U$36,0))</f>
        <v>-2500</v>
      </c>
      <c r="V9" s="12">
        <f ca="1">IF(Diario!V9&gt;0,Diario!V9-Diario!V$18,IF(V$1&lt;TODAY(),$U$36,0))</f>
        <v>11004</v>
      </c>
      <c r="W9" s="12">
        <f ca="1">IF(Diario!W9&gt;0,Diario!W9-Diario!W$18,IF(W$1&lt;TODAY(),$U$36,0))</f>
        <v>8797</v>
      </c>
      <c r="X9" s="12">
        <f ca="1">IF(Diario!X9&gt;0,Diario!X9-Diario!X$18,IF(X$1&lt;TODAY(),$U$36,0))</f>
        <v>10387</v>
      </c>
      <c r="Y9" s="12">
        <f ca="1">IF(Diario!Y9&gt;0,Diario!Y9-Diario!Y$18,IF(Y$1&lt;TODAY(),$U$36,0))</f>
        <v>9265</v>
      </c>
      <c r="Z9" s="12">
        <f ca="1">IF(Diario!Z9&gt;0,Diario!Z9-Diario!Z$18,IF(Z$1&lt;TODAY(),$U$36,0))</f>
        <v>4827</v>
      </c>
      <c r="AA9" s="12">
        <f ca="1">IF(Diario!AA9&gt;0,Diario!AA9-Diario!AA$18,IF(AA$1&lt;TODAY(),$U$36,0))</f>
        <v>8573</v>
      </c>
      <c r="AB9" s="12">
        <f ca="1">IF(Diario!AB9&gt;0,Diario!AB9-Diario!AB$18,IF(AB$1&lt;TODAY(),$U$36,0))</f>
        <v>2978</v>
      </c>
      <c r="AC9" s="12">
        <f ca="1">IF(Diario!AC9&gt;0,Diario!AC9-Diario!AC$18,IF(AC$1&lt;TODAY(),$U$36,0))</f>
        <v>8063</v>
      </c>
      <c r="AD9" s="12">
        <f ca="1">IF(Diario!AD9&gt;0,Diario!AD9-Diario!AD$18,IF(AD$1&lt;TODAY(),$U$36,0))</f>
        <v>6859</v>
      </c>
      <c r="AE9" s="12">
        <f ca="1">IF(Diario!AE9&gt;0,Diario!AE9-Diario!AE$18,IF(AE$1&lt;TODAY(),$U$36,0))</f>
        <v>9711</v>
      </c>
      <c r="AF9" s="12">
        <f ca="1">IF(Diario!AF9&gt;0,Diario!AF9-Diario!AF$18,IF(AF$1&lt;TODAY(),$U$36,0))</f>
        <v>6236</v>
      </c>
      <c r="AG9" s="12">
        <f ca="1">IF(Diario!AG9&gt;0,Diario!AG9-Diario!AG$18,IF(AG$1&lt;TODAY(),$U$36,0))</f>
        <v>1822</v>
      </c>
      <c r="AH9" s="12">
        <f ca="1">IF(Diario!AH9&gt;0,Diario!AH9-Diario!AH$18,IF(AH$1&lt;TODAY(),$U$36,0))</f>
        <v>0</v>
      </c>
      <c r="AI9" s="12">
        <f ca="1">IF(Diario!AI9&gt;0,Diario!AI9-Diario!AI$18,IF(AI$1&lt;TODAY(),$U$36,0))</f>
        <v>0</v>
      </c>
      <c r="AJ9" s="12">
        <f ca="1">IF(Diario!AJ9&gt;0,Diario!AJ9-Diario!AJ$18,IF(AJ$1&lt;TODAY(),$U$36,0))</f>
        <v>0</v>
      </c>
      <c r="AK9" s="12">
        <f ca="1">IF(Diario!AK9&gt;0,Diario!AK9-Diario!AK$18,IF(AK$1&lt;TODAY(),$U$36,0))</f>
        <v>0</v>
      </c>
      <c r="AL9" s="12">
        <f ca="1">IF(Diario!AL9&gt;0,Diario!AL9-Diario!AL$18,IF(AL$1&lt;TODAY(),$U$36,0))</f>
        <v>0</v>
      </c>
      <c r="AM9" s="19">
        <f ca="1">IF(Diario!AM9&gt;0,Diario!AM9-Diario!AM$18,IF(AM$1&lt;TODAY(),$U$36,0))</f>
        <v>0</v>
      </c>
      <c r="AN9" s="32">
        <f t="shared" ca="1" si="0"/>
        <v>95463</v>
      </c>
      <c r="AO9" s="29">
        <f>IF(Diario!AN9&gt;0,Diario!AN9-Diario!AN$18,0)</f>
        <v>0</v>
      </c>
      <c r="AP9" s="12">
        <f>IF(Diario!AO9&gt;0,Diario!AO9-Diario!AO$18,0)</f>
        <v>0</v>
      </c>
      <c r="AQ9" s="12">
        <f>IF(Diario!AP9&gt;0,Diario!AP9-Diario!AP$18,0)</f>
        <v>0</v>
      </c>
      <c r="AR9" s="51">
        <f t="shared" ca="1" si="1"/>
        <v>162010</v>
      </c>
    </row>
    <row r="10" spans="1:44" ht="15.75" customHeight="1" thickBot="1" x14ac:dyDescent="0.3">
      <c r="A10" s="52" t="s">
        <v>12</v>
      </c>
      <c r="B10" s="35"/>
      <c r="C10" s="36">
        <v>0</v>
      </c>
      <c r="D10" s="36">
        <f>IF(Diario!E10&gt;0,Diario!E10-Diario!E$18,0)</f>
        <v>0</v>
      </c>
      <c r="E10" s="36">
        <f>IF(Diario!F10&gt;0,Diario!F10-Diario!F$18,0)</f>
        <v>0</v>
      </c>
      <c r="F10" s="36">
        <f>IF(Diario!G10&gt;0,Diario!G10-Diario!G$18,0)</f>
        <v>0</v>
      </c>
      <c r="G10" s="36">
        <f>IF(Diario!H10&gt;0,Diario!H10-Diario!H$18,0)</f>
        <v>0</v>
      </c>
      <c r="H10" s="36">
        <f>IF(Diario!I10&gt;0,Diario!I10-Diario!I$18,0)</f>
        <v>0</v>
      </c>
      <c r="I10" s="36">
        <f>IF(Diario!J10&gt;0,Diario!J10-Diario!J$18,0)</f>
        <v>0</v>
      </c>
      <c r="J10" s="36">
        <f>IF(Diario!K10&gt;0,Diario!K10-Diario!K$18,0)</f>
        <v>0</v>
      </c>
      <c r="K10" s="36">
        <f>IF(Diario!L10&gt;0,Diario!L10-Diario!L$18,0)</f>
        <v>0</v>
      </c>
      <c r="L10" s="36">
        <f>IF(Diario!M10&gt;0,Diario!M10-Diario!M$18,0)</f>
        <v>0</v>
      </c>
      <c r="M10" s="36">
        <f>IF(Diario!N10&gt;0,Diario!N10-Diario!N$18,0)</f>
        <v>8142</v>
      </c>
      <c r="N10" s="36">
        <f>IF(Diario!O10&gt;0,Diario!O10-Diario!O$18,0)</f>
        <v>0</v>
      </c>
      <c r="O10" s="36">
        <f>IF(Diario!P10&gt;0,Diario!P10-Diario!P$18,0)</f>
        <v>7726</v>
      </c>
      <c r="P10" s="36">
        <f>IF(Diario!Q10&gt;0,Diario!Q10-Diario!Q$18,0)</f>
        <v>0</v>
      </c>
      <c r="Q10" s="36">
        <f>IF(Diario!R10&gt;0,Diario!R10-Diario!R$18,0)</f>
        <v>4271</v>
      </c>
      <c r="R10" s="38">
        <f t="shared" si="2"/>
        <v>20139</v>
      </c>
      <c r="S10" s="29">
        <f ca="1">IF(Diario!S10&gt;0,Diario!S10-Diario!S$18,IF(S$1&lt;TODAY(),$U$36,0))</f>
        <v>16336</v>
      </c>
      <c r="T10" s="12">
        <f ca="1">IF(Diario!T10&gt;0,Diario!T10-Diario!T$18,IF(T$1&lt;TODAY(),$U$36,0))</f>
        <v>4051</v>
      </c>
      <c r="U10" s="12">
        <f ca="1">IF(Diario!U10&gt;0,Diario!U10-Diario!U$18,IF(U$1&lt;TODAY(),$U$36,0))</f>
        <v>4111</v>
      </c>
      <c r="V10" s="12">
        <f ca="1">IF(Diario!V10&gt;0,Diario!V10-Diario!V$18,IF(V$1&lt;TODAY(),$U$36,0))</f>
        <v>8633</v>
      </c>
      <c r="W10" s="12">
        <f ca="1">IF(Diario!W10&gt;0,Diario!W10-Diario!W$18,IF(W$1&lt;TODAY(),$U$36,0))</f>
        <v>7503</v>
      </c>
      <c r="X10" s="12">
        <f ca="1">IF(Diario!X10&gt;0,Diario!X10-Diario!X$18,IF(X$1&lt;TODAY(),$U$36,0))</f>
        <v>2443</v>
      </c>
      <c r="Y10" s="12">
        <f ca="1">IF(Diario!Y10&gt;0,Diario!Y10-Diario!Y$18,IF(Y$1&lt;TODAY(),$U$36,0))</f>
        <v>1348</v>
      </c>
      <c r="Z10" s="12">
        <f ca="1">IF(Diario!Z10&gt;0,Diario!Z10-Diario!Z$18,IF(Z$1&lt;TODAY(),$U$36,0))</f>
        <v>4396</v>
      </c>
      <c r="AA10" s="12">
        <f ca="1">IF(Diario!AA10&gt;0,Diario!AA10-Diario!AA$18,IF(AA$1&lt;TODAY(),$U$36,0))</f>
        <v>7971</v>
      </c>
      <c r="AB10" s="12">
        <f ca="1">IF(Diario!AB10&gt;0,Diario!AB10-Diario!AB$18,IF(AB$1&lt;TODAY(),$U$36,0))</f>
        <v>1934</v>
      </c>
      <c r="AC10" s="12">
        <f ca="1">IF(Diario!AC10&gt;0,Diario!AC10-Diario!AC$18,IF(AC$1&lt;TODAY(),$U$36,0))</f>
        <v>4441</v>
      </c>
      <c r="AD10" s="12">
        <f ca="1">IF(Diario!AD10&gt;0,Diario!AD10-Diario!AD$18,IF(AD$1&lt;TODAY(),$U$36,0))</f>
        <v>5291</v>
      </c>
      <c r="AE10" s="12">
        <f ca="1">IF(Diario!AE10&gt;0,Diario!AE10-Diario!AE$18,IF(AE$1&lt;TODAY(),$U$36,0))</f>
        <v>0</v>
      </c>
      <c r="AF10" s="12">
        <f ca="1">IF(Diario!AF10&gt;0,Diario!AF10-Diario!AF$18,IF(AF$1&lt;TODAY(),$U$36,0))</f>
        <v>3477</v>
      </c>
      <c r="AG10" s="12">
        <f ca="1">IF(Diario!AG10&gt;0,Diario!AG10-Diario!AG$18,IF(AG$1&lt;TODAY(),$U$36,0))</f>
        <v>4611</v>
      </c>
      <c r="AH10" s="12">
        <f ca="1">IF(Diario!AH10&gt;0,Diario!AH10-Diario!AH$18,IF(AH$1&lt;TODAY(),$U$36,0))</f>
        <v>0</v>
      </c>
      <c r="AI10" s="12">
        <f ca="1">IF(Diario!AI10&gt;0,Diario!AI10-Diario!AI$18,IF(AI$1&lt;TODAY(),$U$36,0))</f>
        <v>0</v>
      </c>
      <c r="AJ10" s="12">
        <f ca="1">IF(Diario!AJ10&gt;0,Diario!AJ10-Diario!AJ$18,IF(AJ$1&lt;TODAY(),$U$36,0))</f>
        <v>0</v>
      </c>
      <c r="AK10" s="12">
        <f ca="1">IF(Diario!AK10&gt;0,Diario!AK10-Diario!AK$18,IF(AK$1&lt;TODAY(),$U$36,0))</f>
        <v>0</v>
      </c>
      <c r="AL10" s="12">
        <f ca="1">IF(Diario!AL10&gt;0,Diario!AL10-Diario!AL$18,IF(AL$1&lt;TODAY(),$U$36,0))</f>
        <v>0</v>
      </c>
      <c r="AM10" s="19">
        <f ca="1">IF(Diario!AM10&gt;0,Diario!AM10-Diario!AM$18,IF(AM$1&lt;TODAY(),$U$36,0))</f>
        <v>0</v>
      </c>
      <c r="AN10" s="32">
        <f t="shared" ca="1" si="0"/>
        <v>76546</v>
      </c>
      <c r="AO10" s="29">
        <f>IF(Diario!AN10&gt;0,Diario!AN10-Diario!AN$18,0)</f>
        <v>0</v>
      </c>
      <c r="AP10" s="12">
        <f>IF(Diario!AO10&gt;0,Diario!AO10-Diario!AO$18,0)</f>
        <v>0</v>
      </c>
      <c r="AQ10" s="12">
        <f>IF(Diario!AP10&gt;0,Diario!AP10-Diario!AP$18,0)</f>
        <v>0</v>
      </c>
      <c r="AR10" s="51">
        <f t="shared" ca="1" si="1"/>
        <v>96685</v>
      </c>
    </row>
    <row r="11" spans="1:44" ht="16.5" thickBot="1" x14ac:dyDescent="0.3">
      <c r="A11" s="52" t="s">
        <v>13</v>
      </c>
      <c r="B11" s="35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>
        <f>IF(Diario!Q11&gt;0,Diario!Q11-Diario!Q$18,0)</f>
        <v>12654</v>
      </c>
      <c r="Q11" s="36">
        <f>IF(Diario!R11&gt;0,Diario!R11-Diario!R$18,0)</f>
        <v>0</v>
      </c>
      <c r="R11" s="38">
        <f t="shared" si="2"/>
        <v>12654</v>
      </c>
      <c r="S11" s="29">
        <f ca="1">IF(Diario!S11&gt;0,Diario!S11-Diario!S$18,IF(S$1&lt;TODAY(),$U$36,0))</f>
        <v>4881</v>
      </c>
      <c r="T11" s="12">
        <f ca="1">IF(Diario!T11&gt;0,Diario!T11-Diario!T$18,IF(T$1&lt;TODAY(),$U$36,0))</f>
        <v>-2500</v>
      </c>
      <c r="U11" s="12">
        <f ca="1">IF(Diario!U11&gt;0,Diario!U11-Diario!U$18,IF(U$1&lt;TODAY(),$U$36,0))</f>
        <v>6372</v>
      </c>
      <c r="V11" s="12">
        <f ca="1">IF(Diario!V11&gt;0,Diario!V11-Diario!V$18,IF(V$1&lt;TODAY(),$U$36,0))</f>
        <v>1976</v>
      </c>
      <c r="W11" s="12">
        <f ca="1">IF(Diario!W11&gt;0,Diario!W11-Diario!W$18,IF(W$1&lt;TODAY(),$U$36,0))</f>
        <v>209</v>
      </c>
      <c r="X11" s="12">
        <f ca="1">IF(Diario!X11&gt;0,Diario!X11-Diario!X$18,IF(X$1&lt;TODAY(),$U$36,0))</f>
        <v>7394</v>
      </c>
      <c r="Y11" s="12">
        <f ca="1">IF(Diario!Y11&gt;0,Diario!Y11-Diario!Y$18,IF(Y$1&lt;TODAY(),$U$36,0))</f>
        <v>0</v>
      </c>
      <c r="Z11" s="12">
        <f ca="1">IF(Diario!Z11&gt;0,Diario!Z11-Diario!Z$18,IF(Z$1&lt;TODAY(),$U$36,0))</f>
        <v>7207</v>
      </c>
      <c r="AA11" s="12">
        <f ca="1">IF(Diario!AA11&gt;0,Diario!AA11-Diario!AA$18,IF(AA$1&lt;TODAY(),$U$36,0))</f>
        <v>5613</v>
      </c>
      <c r="AB11" s="12">
        <f ca="1">IF(Diario!AB11&gt;0,Diario!AB11-Diario!AB$18,IF(AB$1&lt;TODAY(),$U$36,0))</f>
        <v>6387</v>
      </c>
      <c r="AC11" s="12">
        <f ca="1">IF(Diario!AC11&gt;0,Diario!AC11-Diario!AC$18,IF(AC$1&lt;TODAY(),$U$36,0))</f>
        <v>2839</v>
      </c>
      <c r="AD11" s="12">
        <f ca="1">IF(Diario!AD11&gt;0,Diario!AD11-Diario!AD$18,IF(AD$1&lt;TODAY(),$U$36,0))</f>
        <v>527</v>
      </c>
      <c r="AE11" s="12">
        <f ca="1">IF(Diario!AE11&gt;0,Diario!AE11-Diario!AE$18,IF(AE$1&lt;TODAY(),$U$36,0))</f>
        <v>7387</v>
      </c>
      <c r="AF11" s="12">
        <f ca="1">IF(Diario!AF11&gt;0,Diario!AF11-Diario!AF$18,IF(AF$1&lt;TODAY(),$U$36,0))</f>
        <v>0</v>
      </c>
      <c r="AG11" s="12">
        <f ca="1">IF(Diario!AG11&gt;0,Diario!AG11-Diario!AG$18,IF(AG$1&lt;TODAY(),$U$36,0))</f>
        <v>3548</v>
      </c>
      <c r="AH11" s="12">
        <f ca="1">IF(Diario!AH11&gt;0,Diario!AH11-Diario!AH$18,IF(AH$1&lt;TODAY(),$U$36,0))</f>
        <v>0</v>
      </c>
      <c r="AI11" s="12">
        <f ca="1">IF(Diario!AI11&gt;0,Diario!AI11-Diario!AI$18,IF(AI$1&lt;TODAY(),$U$36,0))</f>
        <v>0</v>
      </c>
      <c r="AJ11" s="12">
        <f ca="1">IF(Diario!AJ11&gt;0,Diario!AJ11-Diario!AJ$18,IF(AJ$1&lt;TODAY(),$U$36,0))</f>
        <v>0</v>
      </c>
      <c r="AK11" s="12">
        <f ca="1">IF(Diario!AK11&gt;0,Diario!AK11-Diario!AK$18,IF(AK$1&lt;TODAY(),$U$36,0))</f>
        <v>0</v>
      </c>
      <c r="AL11" s="12">
        <f ca="1">IF(Diario!AL11&gt;0,Diario!AL11-Diario!AL$18,IF(AL$1&lt;TODAY(),$U$36,0))</f>
        <v>0</v>
      </c>
      <c r="AM11" s="19">
        <f ca="1">IF(Diario!AM11&gt;0,Diario!AM11-Diario!AM$18,IF(AM$1&lt;TODAY(),$U$36,0))</f>
        <v>0</v>
      </c>
      <c r="AN11" s="32">
        <f t="shared" ca="1" si="0"/>
        <v>51840</v>
      </c>
      <c r="AO11" s="29">
        <f>IF(Diario!AN11&gt;0,Diario!AN11-Diario!AN$18,0)</f>
        <v>0</v>
      </c>
      <c r="AP11" s="12">
        <f>IF(Diario!AO11&gt;0,Diario!AO11-Diario!AO$18,0)</f>
        <v>0</v>
      </c>
      <c r="AQ11" s="12">
        <f>IF(Diario!AP11&gt;0,Diario!AP11-Diario!AP$18,0)</f>
        <v>0</v>
      </c>
      <c r="AR11" s="51">
        <f t="shared" ca="1" si="1"/>
        <v>64494</v>
      </c>
    </row>
    <row r="12" spans="1:44" ht="16.5" thickBot="1" x14ac:dyDescent="0.3">
      <c r="A12" s="52" t="s">
        <v>14</v>
      </c>
      <c r="B12" s="35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9">
        <f>IF(Diario!Q12&gt;0,Diario!Q12-Diario!Q$18,0)</f>
        <v>0</v>
      </c>
      <c r="Q12" s="39">
        <f>IF(Diario!R12&gt;0,Diario!R12-Diario!R$18,0)</f>
        <v>0</v>
      </c>
      <c r="R12" s="44">
        <f t="shared" si="2"/>
        <v>0</v>
      </c>
      <c r="S12" s="29">
        <f ca="1">IF(Diario!S12&gt;0,Diario!S12-Diario!S$18,IF(S$1&lt;TODAY(),$U$36,0))</f>
        <v>5994</v>
      </c>
      <c r="T12" s="12">
        <f ca="1">IF(Diario!T12&gt;0,Diario!T12-Diario!T$18,IF(T$1&lt;TODAY(),$U$36,0))</f>
        <v>1001</v>
      </c>
      <c r="U12" s="12">
        <f ca="1">IF(Diario!U12&gt;0,Diario!U12-Diario!U$18,IF(U$1&lt;TODAY(),$U$36,0))</f>
        <v>7649</v>
      </c>
      <c r="V12" s="12">
        <f ca="1">IF(Diario!V12&gt;0,Diario!V12-Diario!V$18,IF(V$1&lt;TODAY(),$U$36,0))</f>
        <v>3841</v>
      </c>
      <c r="W12" s="12">
        <f ca="1">IF(Diario!W12&gt;0,Diario!W12-Diario!W$18,IF(W$1&lt;TODAY(),$U$36,0))</f>
        <v>7998</v>
      </c>
      <c r="X12" s="12">
        <f ca="1">IF(Diario!X12&gt;0,Diario!X12-Diario!X$18,IF(X$1&lt;TODAY(),$U$36,0))</f>
        <v>9188</v>
      </c>
      <c r="Y12" s="12">
        <f ca="1">IF(Diario!Y12&gt;0,Diario!Y12-Diario!Y$18,IF(Y$1&lt;TODAY(),$U$36,0))</f>
        <v>3438</v>
      </c>
      <c r="Z12" s="12">
        <f ca="1">IF(Diario!Z12&gt;0,Diario!Z12-Diario!Z$18,IF(Z$1&lt;TODAY(),$U$36,0))</f>
        <v>4284</v>
      </c>
      <c r="AA12" s="12">
        <f ca="1">IF(Diario!AA12&gt;0,Diario!AA12-Diario!AA$18,IF(AA$1&lt;TODAY(),$U$36,0))</f>
        <v>3698</v>
      </c>
      <c r="AB12" s="12">
        <f ca="1">IF(Diario!AB12&gt;0,Diario!AB12-Diario!AB$18,IF(AB$1&lt;TODAY(),$U$36,0))</f>
        <v>401</v>
      </c>
      <c r="AC12" s="12">
        <f ca="1">IF(Diario!AC12&gt;0,Diario!AC12-Diario!AC$18,IF(AC$1&lt;TODAY(),$U$36,0))</f>
        <v>7186</v>
      </c>
      <c r="AD12" s="12">
        <f ca="1">IF(Diario!AD12&gt;0,Diario!AD12-Diario!AD$18,IF(AD$1&lt;TODAY(),$U$36,0))</f>
        <v>0</v>
      </c>
      <c r="AE12" s="12">
        <f ca="1">IF(Diario!AE12&gt;0,Diario!AE12-Diario!AE$18,IF(AE$1&lt;TODAY(),$U$36,0))</f>
        <v>2175</v>
      </c>
      <c r="AF12" s="12">
        <f ca="1">IF(Diario!AF12&gt;0,Diario!AF12-Diario!AF$18,IF(AF$1&lt;TODAY(),$U$36,0))</f>
        <v>429</v>
      </c>
      <c r="AG12" s="12">
        <f ca="1">IF(Diario!AG12&gt;0,Diario!AG12-Diario!AG$18,IF(AG$1&lt;TODAY(),$U$36,0))</f>
        <v>2063</v>
      </c>
      <c r="AH12" s="12">
        <f ca="1">IF(Diario!AH12&gt;0,Diario!AH12-Diario!AH$18,IF(AH$1&lt;TODAY(),$U$36,0))</f>
        <v>0</v>
      </c>
      <c r="AI12" s="12">
        <f ca="1">IF(Diario!AI12&gt;0,Diario!AI12-Diario!AI$18,IF(AI$1&lt;TODAY(),$U$36,0))</f>
        <v>0</v>
      </c>
      <c r="AJ12" s="12">
        <f ca="1">IF(Diario!AJ12&gt;0,Diario!AJ12-Diario!AJ$18,IF(AJ$1&lt;TODAY(),$U$36,0))</f>
        <v>0</v>
      </c>
      <c r="AK12" s="12">
        <f ca="1">IF(Diario!AK12&gt;0,Diario!AK12-Diario!AK$18,IF(AK$1&lt;TODAY(),$U$36,0))</f>
        <v>0</v>
      </c>
      <c r="AL12" s="12">
        <f ca="1">IF(Diario!AL12&gt;0,Diario!AL12-Diario!AL$18,IF(AL$1&lt;TODAY(),$U$36,0))</f>
        <v>0</v>
      </c>
      <c r="AM12" s="19">
        <f ca="1">IF(Diario!AM12&gt;0,Diario!AM12-Diario!AM$18,IF(AM$1&lt;TODAY(),$U$36,0))</f>
        <v>0</v>
      </c>
      <c r="AN12" s="62">
        <f t="shared" ca="1" si="0"/>
        <v>59345</v>
      </c>
      <c r="AO12" s="29">
        <f>IF(Diario!AN12&gt;0,Diario!AN12-Diario!AN$18,0)</f>
        <v>0</v>
      </c>
      <c r="AP12" s="12">
        <f>IF(Diario!AO12&gt;0,Diario!AO12-Diario!AO$18,0)</f>
        <v>0</v>
      </c>
      <c r="AQ12" s="12">
        <f>IF(Diario!AP12&gt;0,Diario!AP12-Diario!AP$18,0)</f>
        <v>0</v>
      </c>
      <c r="AR12" s="51">
        <f t="shared" ca="1" si="1"/>
        <v>59345</v>
      </c>
    </row>
    <row r="13" spans="1:44" x14ac:dyDescent="0.25">
      <c r="A13" s="53" t="s">
        <v>15</v>
      </c>
      <c r="B13" s="40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5">
        <f t="shared" si="2"/>
        <v>0</v>
      </c>
      <c r="S13" s="46">
        <f ca="1">IF(Diario!S13&gt;0,Diario!S13-Diario!S$18,IF(S$1&lt;TODAY(),$U$36,0))</f>
        <v>7607</v>
      </c>
      <c r="T13" s="47">
        <f ca="1">IF(Diario!T13&gt;0,Diario!T13-Diario!T$18,IF(T$1&lt;TODAY(),$U$36,0))</f>
        <v>1097</v>
      </c>
      <c r="U13" s="47">
        <f ca="1">IF(Diario!U13&gt;0,Diario!U13-Diario!U$18,IF(U$1&lt;TODAY(),$U$36,0))</f>
        <v>0</v>
      </c>
      <c r="V13" s="47">
        <f ca="1">IF(Diario!V13&gt;0,Diario!V13-Diario!V$18,IF(V$1&lt;TODAY(),$U$36,0))</f>
        <v>0</v>
      </c>
      <c r="W13" s="47">
        <f ca="1">IF(Diario!W13&gt;0,Diario!W13-Diario!W$18,IF(W$1&lt;TODAY(),$U$36,0))</f>
        <v>0</v>
      </c>
      <c r="X13" s="47">
        <f ca="1">IF(Diario!X13&gt;0,Diario!X13-Diario!X$18,IF(X$1&lt;TODAY(),$U$36,0))</f>
        <v>0</v>
      </c>
      <c r="Y13" s="47">
        <f ca="1">IF(Diario!Y13&gt;0,Diario!Y13-Diario!Y$18,IF(Y$1&lt;TODAY(),$U$36,0))</f>
        <v>4375</v>
      </c>
      <c r="Z13" s="47">
        <f ca="1">IF(Diario!Z13&gt;0,Diario!Z13-Diario!Z$18,IF(Z$1&lt;TODAY(),$U$36,0))</f>
        <v>0</v>
      </c>
      <c r="AA13" s="47">
        <f ca="1">IF(Diario!AA13&gt;0,Diario!AA13-Diario!AA$18,IF(AA$1&lt;TODAY(),$U$36,0))</f>
        <v>0</v>
      </c>
      <c r="AB13" s="47">
        <f ca="1">IF(Diario!AB13&gt;0,Diario!AB13-Diario!AB$18,IF(AB$1&lt;TODAY(),$U$36,0))</f>
        <v>0</v>
      </c>
      <c r="AC13" s="47">
        <f ca="1">IF(Diario!AC13&gt;0,Diario!AC13-Diario!AC$18,IF(AC$1&lt;TODAY(),$U$36,0))</f>
        <v>7910</v>
      </c>
      <c r="AD13" s="47">
        <f ca="1">IF(Diario!AD13&gt;0,Diario!AD13-Diario!AD$18,IF(AD$1&lt;TODAY(),$U$36,0))</f>
        <v>6014</v>
      </c>
      <c r="AE13" s="47">
        <f ca="1">IF(Diario!AE13&gt;0,Diario!AE13-Diario!AE$18,IF(AE$1&lt;TODAY(),$U$36,0))</f>
        <v>3903</v>
      </c>
      <c r="AF13" s="47">
        <f ca="1">IF(Diario!AF13&gt;0,Diario!AF13-Diario!AF$18,IF(AF$1&lt;TODAY(),$U$36,0))</f>
        <v>2837</v>
      </c>
      <c r="AG13" s="47">
        <f ca="1">IF(Diario!AG13&gt;0,Diario!AG13-Diario!AG$18,IF(AG$1&lt;TODAY(),$U$36,0))</f>
        <v>1238</v>
      </c>
      <c r="AH13" s="47">
        <f ca="1">IF(Diario!AH13&gt;0,Diario!AH13-Diario!AH$18,IF(AH$1&lt;TODAY(),$U$36,0))</f>
        <v>0</v>
      </c>
      <c r="AI13" s="47">
        <f ca="1">IF(Diario!AI13&gt;0,Diario!AI13-Diario!AI$18,IF(AI$1&lt;TODAY(),$U$36,0))</f>
        <v>0</v>
      </c>
      <c r="AJ13" s="47">
        <f ca="1">IF(Diario!AJ13&gt;0,Diario!AJ13-Diario!AJ$18,IF(AJ$1&lt;TODAY(),$U$36,0))</f>
        <v>0</v>
      </c>
      <c r="AK13" s="47">
        <f ca="1">IF(Diario!AK13&gt;0,Diario!AK13-Diario!AK$18,IF(AK$1&lt;TODAY(),$U$36,0))</f>
        <v>0</v>
      </c>
      <c r="AL13" s="47">
        <f ca="1">IF(Diario!AL13&gt;0,Diario!AL13-Diario!AL$18,IF(AL$1&lt;TODAY(),$U$36,0))</f>
        <v>0</v>
      </c>
      <c r="AM13" s="48">
        <f ca="1">IF(Diario!AM13&gt;0,Diario!AM13-Diario!AM$18,IF(AM$1&lt;TODAY(),$U$36,0))</f>
        <v>0</v>
      </c>
      <c r="AN13" s="61">
        <f t="shared" ca="1" si="0"/>
        <v>34981</v>
      </c>
      <c r="AO13" s="46">
        <f>IF(Diario!AN13&gt;0,Diario!AN13-Diario!AN$18,0)</f>
        <v>0</v>
      </c>
      <c r="AP13" s="47">
        <f>IF(Diario!AO13&gt;0,Diario!AO13-Diario!AO$18,0)</f>
        <v>0</v>
      </c>
      <c r="AQ13" s="47">
        <f>IF(Diario!AP13&gt;0,Diario!AP13-Diario!AP$18,0)</f>
        <v>0</v>
      </c>
      <c r="AR13" s="54">
        <f t="shared" ca="1" si="1"/>
        <v>34981</v>
      </c>
    </row>
    <row r="14" spans="1:44" ht="16.5" thickBot="1" x14ac:dyDescent="0.3">
      <c r="A14" s="18" t="s">
        <v>16</v>
      </c>
      <c r="B14" s="11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49">
        <f t="shared" si="2"/>
        <v>0</v>
      </c>
      <c r="S14" s="12">
        <f ca="1">IF(Diario!S14&gt;0,Diario!S14-Diario!S$18,IF(S$1&lt;TODAY(),$U$36,0))</f>
        <v>4153</v>
      </c>
      <c r="T14" s="12">
        <f ca="1">IF(Diario!T14&gt;0,Diario!T14-Diario!T$18,IF(T$1&lt;TODAY(),$U$36,0))</f>
        <v>7450</v>
      </c>
      <c r="U14" s="12">
        <f ca="1">IF(Diario!U14&gt;0,Diario!U14-Diario!U$18,IF(U$1&lt;TODAY(),$U$36,0))</f>
        <v>9586</v>
      </c>
      <c r="V14" s="12">
        <f ca="1">IF(Diario!V14&gt;0,Diario!V14-Diario!V$18,IF(V$1&lt;TODAY(),$U$36,0))</f>
        <v>-2500</v>
      </c>
      <c r="W14" s="12">
        <f ca="1">IF(Diario!W14&gt;0,Diario!W14-Diario!W$18,IF(W$1&lt;TODAY(),$U$36,0))</f>
        <v>-2500</v>
      </c>
      <c r="X14" s="12">
        <f ca="1">IF(Diario!X14&gt;0,Diario!X14-Diario!X$18,IF(X$1&lt;TODAY(),$U$36,0))</f>
        <v>7969</v>
      </c>
      <c r="Y14" s="12">
        <f ca="1">IF(Diario!Y14&gt;0,Diario!Y14-Diario!Y$18,IF(Y$1&lt;TODAY(),$U$36,0))</f>
        <v>-2500</v>
      </c>
      <c r="Z14" s="12">
        <f ca="1">IF(Diario!Z14&gt;0,Diario!Z14-Diario!Z$18,IF(Z$1&lt;TODAY(),$U$36,0))</f>
        <v>1486</v>
      </c>
      <c r="AA14" s="12">
        <f ca="1">IF(Diario!AA14&gt;0,Diario!AA14-Diario!AA$18,IF(AA$1&lt;TODAY(),$U$36,0))</f>
        <v>3978</v>
      </c>
      <c r="AB14" s="12">
        <f ca="1">IF(Diario!AB14&gt;0,Diario!AB14-Diario!AB$18,IF(AB$1&lt;TODAY(),$U$36,0))</f>
        <v>3209</v>
      </c>
      <c r="AC14" s="12">
        <f ca="1">IF(Diario!AC14&gt;0,Diario!AC14-Diario!AC$18,IF(AC$1&lt;TODAY(),$U$36,0))</f>
        <v>7338</v>
      </c>
      <c r="AD14" s="12">
        <f ca="1">IF(Diario!AD14&gt;0,Diario!AD14-Diario!AD$18,IF(AD$1&lt;TODAY(),$U$36,0))</f>
        <v>5410</v>
      </c>
      <c r="AE14" s="12">
        <f ca="1">IF(Diario!AE14&gt;0,Diario!AE14-Diario!AE$18,IF(AE$1&lt;TODAY(),$U$36,0))</f>
        <v>7972</v>
      </c>
      <c r="AF14" s="12">
        <f ca="1">IF(Diario!AF14&gt;0,Diario!AF14-Diario!AF$18,IF(AF$1&lt;TODAY(),$U$36,0))</f>
        <v>5365</v>
      </c>
      <c r="AG14" s="12">
        <f ca="1">IF(Diario!AG14&gt;0,Diario!AG14-Diario!AG$18,IF(AG$1&lt;TODAY(),$U$36,0))</f>
        <v>0</v>
      </c>
      <c r="AH14" s="12">
        <f ca="1">IF(Diario!AH14&gt;0,Diario!AH14-Diario!AH$18,IF(AH$1&lt;TODAY(),$U$36,0))</f>
        <v>0</v>
      </c>
      <c r="AI14" s="12">
        <f ca="1">IF(Diario!AI14&gt;0,Diario!AI14-Diario!AI$18,IF(AI$1&lt;TODAY(),$U$36,0))</f>
        <v>0</v>
      </c>
      <c r="AJ14" s="12">
        <f ca="1">IF(Diario!AJ14&gt;0,Diario!AJ14-Diario!AJ$18,IF(AJ$1&lt;TODAY(),$U$36,0))</f>
        <v>0</v>
      </c>
      <c r="AK14" s="12">
        <f ca="1">IF(Diario!AK14&gt;0,Diario!AK14-Diario!AK$18,IF(AK$1&lt;TODAY(),$U$36,0))</f>
        <v>0</v>
      </c>
      <c r="AL14" s="12">
        <f ca="1">IF(Diario!AL14&gt;0,Diario!AL14-Diario!AL$18,IF(AL$1&lt;TODAY(),$U$36,0))</f>
        <v>0</v>
      </c>
      <c r="AM14" s="12">
        <f ca="1">IF(Diario!AM14&gt;0,Diario!AM14-Diario!AM$18,IF(AM$1&lt;TODAY(),$U$36,0))</f>
        <v>0</v>
      </c>
      <c r="AN14" s="56">
        <f t="shared" ca="1" si="0"/>
        <v>56416</v>
      </c>
      <c r="AO14" s="12">
        <f>IF(Diario!AN14&gt;0,Diario!AN14-Diario!AN$18,0)</f>
        <v>0</v>
      </c>
      <c r="AP14" s="12">
        <f>IF(Diario!AO14&gt;0,Diario!AO14-Diario!AO$18,0)</f>
        <v>0</v>
      </c>
      <c r="AQ14" s="12">
        <f>IF(Diario!AP14&gt;0,Diario!AP14-Diario!AP$18,0)</f>
        <v>0</v>
      </c>
      <c r="AR14" s="51">
        <f t="shared" ca="1" si="1"/>
        <v>56416</v>
      </c>
    </row>
    <row r="15" spans="1:44" ht="16.5" thickBot="1" x14ac:dyDescent="0.3">
      <c r="A15" s="55" t="s">
        <v>17</v>
      </c>
      <c r="B15" s="43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43"/>
      <c r="U15" s="43"/>
      <c r="V15" s="43"/>
      <c r="W15" s="43"/>
      <c r="X15" s="43"/>
      <c r="Y15" s="43"/>
      <c r="Z15" s="43"/>
      <c r="AA15" s="43"/>
      <c r="AB15" s="43"/>
      <c r="AC15" s="27">
        <f ca="1">IF(Diario!AC15&gt;0,Diario!AC15-Diario!AC$18,IF(AC$1&lt;TODAY(),$U$36,0))</f>
        <v>6320</v>
      </c>
      <c r="AD15" s="27">
        <f ca="1">IF(Diario!AD15&gt;0,Diario!AD15-Diario!AD$18,IF(AD$1&lt;TODAY(),$U$36,0))</f>
        <v>7980</v>
      </c>
      <c r="AE15" s="27">
        <f ca="1">IF(Diario!AE15&gt;0,Diario!AE15-Diario!AE$18,IF(AE$1&lt;TODAY(),$U$36,0))</f>
        <v>8791</v>
      </c>
      <c r="AF15" s="27">
        <f ca="1">IF(Diario!AF15&gt;0,Diario!AF15-Diario!AF$18,IF(AF$1&lt;TODAY(),$U$36,0))</f>
        <v>8133</v>
      </c>
      <c r="AG15" s="27">
        <f ca="1">IF(Diario!AG15&gt;0,Diario!AG15-Diario!AG$18,IF(AG$1&lt;TODAY(),$U$36,0))</f>
        <v>1057</v>
      </c>
      <c r="AH15" s="27">
        <f ca="1">IF(Diario!AH15&gt;0,Diario!AH15-Diario!AH$18,IF(AH$1&lt;TODAY(),$U$36,0))</f>
        <v>0</v>
      </c>
      <c r="AI15" s="27">
        <f ca="1">IF(Diario!AI15&gt;0,Diario!AI15-Diario!AI$18,IF(AI$1&lt;TODAY(),$U$36,0))</f>
        <v>0</v>
      </c>
      <c r="AJ15" s="27">
        <f ca="1">IF(Diario!AJ15&gt;0,Diario!AJ15-Diario!AJ$18,IF(AJ$1&lt;TODAY(),$U$36,0))</f>
        <v>0</v>
      </c>
      <c r="AK15" s="27">
        <f ca="1">IF(Diario!AK15&gt;0,Diario!AK15-Diario!AK$18,IF(AK$1&lt;TODAY(),$U$36,0))</f>
        <v>0</v>
      </c>
      <c r="AL15" s="27">
        <f ca="1">IF(Diario!AL15&gt;0,Diario!AL15-Diario!AL$18,IF(AL$1&lt;TODAY(),$U$36,0))</f>
        <v>0</v>
      </c>
      <c r="AM15" s="59">
        <f ca="1">IF(Diario!AM15&gt;0,Diario!AM15-Diario!AM$18,IF(AM$1&lt;TODAY(),$U$36,0))</f>
        <v>0</v>
      </c>
      <c r="AN15" s="60">
        <f t="shared" ca="1" si="0"/>
        <v>32281</v>
      </c>
      <c r="AO15" s="30">
        <f>IF(Diario!AN15&gt;0,Diario!AN15-Diario!AN$18,0)</f>
        <v>0</v>
      </c>
      <c r="AP15" s="27">
        <f>IF(Diario!AO15&gt;0,Diario!AO15-Diario!AO$18,0)</f>
        <v>0</v>
      </c>
      <c r="AQ15" s="27">
        <f>IF(Diario!AP15&gt;0,Diario!AP15-Diario!AP$18,0)</f>
        <v>0</v>
      </c>
      <c r="AR15" s="57">
        <f t="shared" ca="1" si="1"/>
        <v>32281</v>
      </c>
    </row>
    <row r="16" spans="1:44" ht="16.5" thickBot="1" x14ac:dyDescent="0.3">
      <c r="A16" s="8" t="s">
        <v>18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AC16" s="27">
        <f ca="1">IF(Diario!AC16&gt;0,Diario!AC16-Diario!AC$18,IF(AC$1&lt;TODAY(),$U$36,0))</f>
        <v>-2500</v>
      </c>
      <c r="AD16" s="27">
        <f ca="1">IF(Diario!AD16&gt;0,Diario!AD16-Diario!AD$18,IF(AD$1&lt;TODAY(),$U$36,0))</f>
        <v>-2500</v>
      </c>
      <c r="AE16" s="27">
        <f ca="1">IF(Diario!AE16&gt;0,Diario!AE16-Diario!AE$18,IF(AE$1&lt;TODAY(),$U$36,0))</f>
        <v>-2500</v>
      </c>
      <c r="AF16" s="27">
        <f ca="1">IF(Diario!AF16&gt;0,Diario!AF16-Diario!AF$18,IF(AF$1&lt;TODAY(),$U$36,0))</f>
        <v>-2500</v>
      </c>
      <c r="AG16" s="27">
        <f ca="1">IF(Diario!AG16&gt;0,Diario!AG16-Diario!AG$18,IF(AG$1&lt;TODAY(),$U$36,0))</f>
        <v>0</v>
      </c>
      <c r="AH16" s="27">
        <f ca="1">IF(Diario!AH16&gt;0,Diario!AH16-Diario!AH$18,IF(AH$1&lt;TODAY(),$U$36,0))</f>
        <v>0</v>
      </c>
      <c r="AI16" s="27">
        <f ca="1">IF(Diario!AI16&gt;0,Diario!AI16-Diario!AI$18,IF(AI$1&lt;TODAY(),$U$36,0))</f>
        <v>0</v>
      </c>
      <c r="AJ16" s="27">
        <f ca="1">IF(Diario!AJ16&gt;0,Diario!AJ16-Diario!AJ$18,IF(AJ$1&lt;TODAY(),$U$36,0))</f>
        <v>0</v>
      </c>
      <c r="AK16" s="27">
        <f ca="1">IF(Diario!AK16&gt;0,Diario!AK16-Diario!AK$18,IF(AK$1&lt;TODAY(),$U$36,0))</f>
        <v>0</v>
      </c>
      <c r="AL16" s="27">
        <f ca="1">IF(Diario!AL16&gt;0,Diario!AL16-Diario!AL$18,IF(AL$1&lt;TODAY(),$U$36,0))</f>
        <v>0</v>
      </c>
      <c r="AM16" s="27">
        <f ca="1">IF(Diario!AM16&gt;0,Diario!AM16-Diario!AM$18,IF(AM$1&lt;TODAY(),$U$36,0))</f>
        <v>0</v>
      </c>
      <c r="AN16" s="60">
        <f t="shared" ca="1" si="0"/>
        <v>-10000</v>
      </c>
      <c r="AO16" s="1"/>
      <c r="AP16" s="1"/>
      <c r="AQ16" s="1"/>
      <c r="AR16" s="57">
        <f t="shared" ca="1" si="1"/>
        <v>-10000</v>
      </c>
    </row>
    <row r="17" spans="3:28" ht="16.5" thickBot="1" x14ac:dyDescent="0.3">
      <c r="C17" s="1"/>
      <c r="D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3:28" x14ac:dyDescent="0.25">
      <c r="C18" s="1"/>
      <c r="D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T18" s="13"/>
      <c r="U18" s="14" t="s">
        <v>19</v>
      </c>
      <c r="V18" s="15"/>
      <c r="AB18" s="63" t="s">
        <v>20</v>
      </c>
    </row>
    <row r="19" spans="3:28" x14ac:dyDescent="0.25">
      <c r="C19" s="1"/>
      <c r="D19" s="2"/>
      <c r="E19" s="2" t="s">
        <v>21</v>
      </c>
      <c r="F19" s="2"/>
      <c r="H19" s="1"/>
      <c r="I19" s="1"/>
      <c r="J19" s="1"/>
      <c r="K19" s="2"/>
      <c r="L19" s="2" t="s">
        <v>22</v>
      </c>
      <c r="M19" s="2"/>
      <c r="N19" s="1"/>
      <c r="O19" s="1"/>
      <c r="P19" s="1"/>
      <c r="Q19" s="1"/>
      <c r="R19" s="1"/>
      <c r="T19" s="16" t="s">
        <v>23</v>
      </c>
      <c r="U19" s="10" t="s">
        <v>0</v>
      </c>
      <c r="V19" s="17" t="s">
        <v>24</v>
      </c>
    </row>
    <row r="20" spans="3:28" x14ac:dyDescent="0.25">
      <c r="C20" s="1"/>
      <c r="D20" s="2" t="s">
        <v>23</v>
      </c>
      <c r="E20" s="2" t="s">
        <v>0</v>
      </c>
      <c r="F20" s="2" t="s">
        <v>24</v>
      </c>
      <c r="H20" s="1"/>
      <c r="I20" s="1"/>
      <c r="J20" s="1"/>
      <c r="K20" s="2" t="s">
        <v>23</v>
      </c>
      <c r="L20" s="2" t="s">
        <v>0</v>
      </c>
      <c r="M20" s="2" t="s">
        <v>24</v>
      </c>
      <c r="N20" s="1"/>
      <c r="O20" s="1"/>
      <c r="P20" s="1"/>
      <c r="Q20" s="1"/>
      <c r="R20" s="1"/>
      <c r="T20" s="18">
        <v>1</v>
      </c>
      <c r="U20" s="11" t="str">
        <f t="shared" ref="U20:U32" ca="1" si="3">INDEX($A$2:$A$15,MATCH(V20,$AN$2:$AN$15,0))</f>
        <v>Tales</v>
      </c>
      <c r="V20" s="19">
        <f ca="1">LARGE($AN$2:$AN$16,T20)</f>
        <v>124579</v>
      </c>
    </row>
    <row r="21" spans="3:28" x14ac:dyDescent="0.25">
      <c r="D21">
        <v>1</v>
      </c>
      <c r="E21" t="str">
        <f t="shared" ref="E21:E31" ca="1" si="4">INDEX($A$2:$A$12,MATCH(F21,$AR$2:$AR$12,0))</f>
        <v>Tales</v>
      </c>
      <c r="F21" s="1">
        <f t="shared" ref="F21:F31" ca="1" si="5">LARGE($AR$2:$AR$12,D21)</f>
        <v>225650</v>
      </c>
      <c r="K21">
        <v>1</v>
      </c>
      <c r="L21" t="str">
        <f>INDEX($A$2:$A$12,MATCH(M21,$R$2:$R$12,0))</f>
        <v>Tales</v>
      </c>
      <c r="M21" s="1">
        <f>LARGE($R$2:$R$13,K21)</f>
        <v>101071</v>
      </c>
      <c r="T21" s="18">
        <v>2</v>
      </c>
      <c r="U21" s="11" t="str">
        <f t="shared" ca="1" si="3"/>
        <v>Arthur</v>
      </c>
      <c r="V21" s="19">
        <f t="shared" ref="V21:V34" ca="1" si="6">LARGE($AN$2:$AN$16,T21)</f>
        <v>112135</v>
      </c>
    </row>
    <row r="22" spans="3:28" x14ac:dyDescent="0.25">
      <c r="D22">
        <v>2</v>
      </c>
      <c r="E22" t="str">
        <f t="shared" ca="1" si="4"/>
        <v>Arthur</v>
      </c>
      <c r="F22" s="1">
        <f t="shared" ca="1" si="5"/>
        <v>194311</v>
      </c>
      <c r="K22">
        <v>2</v>
      </c>
      <c r="L22" t="str">
        <f t="shared" ref="L22:L32" si="7">INDEX($A$2:$A$12,MATCH(M22,$R$2:$R$12,0))</f>
        <v>Arthur</v>
      </c>
      <c r="M22" s="1">
        <f t="shared" ref="M22:M32" si="8">LARGE($R$2:$R$13,K22)</f>
        <v>82176</v>
      </c>
      <c r="T22" s="18">
        <v>3</v>
      </c>
      <c r="U22" s="11" t="str">
        <f t="shared" ca="1" si="3"/>
        <v>Leo</v>
      </c>
      <c r="V22" s="19">
        <f t="shared" ca="1" si="6"/>
        <v>111499</v>
      </c>
    </row>
    <row r="23" spans="3:28" x14ac:dyDescent="0.25">
      <c r="D23">
        <v>3</v>
      </c>
      <c r="E23" t="str">
        <f t="shared" ca="1" si="4"/>
        <v>Leo</v>
      </c>
      <c r="F23" s="1">
        <f t="shared" ca="1" si="5"/>
        <v>168471</v>
      </c>
      <c r="K23">
        <v>3</v>
      </c>
      <c r="L23" t="str">
        <f t="shared" si="7"/>
        <v>Diana</v>
      </c>
      <c r="M23" s="1">
        <f t="shared" si="8"/>
        <v>66547</v>
      </c>
      <c r="T23" s="18">
        <v>4</v>
      </c>
      <c r="U23" s="11" t="str">
        <f t="shared" ca="1" si="3"/>
        <v>Martin</v>
      </c>
      <c r="V23" s="19">
        <f t="shared" ca="1" si="6"/>
        <v>97968</v>
      </c>
    </row>
    <row r="24" spans="3:28" x14ac:dyDescent="0.25">
      <c r="D24">
        <v>4</v>
      </c>
      <c r="E24" t="str">
        <f t="shared" ca="1" si="4"/>
        <v>Diana</v>
      </c>
      <c r="F24" s="1">
        <f t="shared" ca="1" si="5"/>
        <v>162010</v>
      </c>
      <c r="K24">
        <v>4</v>
      </c>
      <c r="L24" t="str">
        <f t="shared" si="7"/>
        <v>Leo</v>
      </c>
      <c r="M24" s="1">
        <f t="shared" si="8"/>
        <v>56972</v>
      </c>
      <c r="T24" s="18">
        <v>5</v>
      </c>
      <c r="U24" s="11" t="str">
        <f t="shared" ca="1" si="3"/>
        <v>Diana</v>
      </c>
      <c r="V24" s="19">
        <f t="shared" ca="1" si="6"/>
        <v>95463</v>
      </c>
    </row>
    <row r="25" spans="3:28" x14ac:dyDescent="0.25">
      <c r="D25">
        <v>5</v>
      </c>
      <c r="E25" t="str">
        <f t="shared" ca="1" si="4"/>
        <v>Martin</v>
      </c>
      <c r="F25" s="1">
        <f t="shared" ca="1" si="5"/>
        <v>146444</v>
      </c>
      <c r="K25">
        <v>5</v>
      </c>
      <c r="L25" t="str">
        <f t="shared" si="7"/>
        <v>Fabio</v>
      </c>
      <c r="M25" s="1">
        <f t="shared" si="8"/>
        <v>55087</v>
      </c>
      <c r="T25" s="18">
        <v>6</v>
      </c>
      <c r="U25" s="11" t="str">
        <f t="shared" ca="1" si="3"/>
        <v>Zade</v>
      </c>
      <c r="V25" s="19">
        <f t="shared" ca="1" si="6"/>
        <v>76546</v>
      </c>
    </row>
    <row r="26" spans="3:28" x14ac:dyDescent="0.25">
      <c r="D26">
        <v>6</v>
      </c>
      <c r="E26" t="str">
        <f t="shared" ca="1" si="4"/>
        <v>Fabio</v>
      </c>
      <c r="F26" s="1">
        <f t="shared" ca="1" si="5"/>
        <v>118901</v>
      </c>
      <c r="K26">
        <v>6</v>
      </c>
      <c r="L26" t="str">
        <f t="shared" si="7"/>
        <v>Martin</v>
      </c>
      <c r="M26" s="1">
        <f t="shared" si="8"/>
        <v>48476</v>
      </c>
      <c r="T26" s="18">
        <v>7</v>
      </c>
      <c r="U26" s="11" t="str">
        <f t="shared" ca="1" si="3"/>
        <v>Luca</v>
      </c>
      <c r="V26" s="19">
        <f t="shared" ca="1" si="6"/>
        <v>66425</v>
      </c>
    </row>
    <row r="27" spans="3:28" ht="15.75" customHeight="1" x14ac:dyDescent="0.25">
      <c r="D27">
        <v>7</v>
      </c>
      <c r="E27" t="str">
        <f t="shared" ca="1" si="4"/>
        <v>Luca</v>
      </c>
      <c r="F27" s="1">
        <f t="shared" ca="1" si="5"/>
        <v>113091</v>
      </c>
      <c r="K27">
        <v>7</v>
      </c>
      <c r="L27" t="str">
        <f t="shared" si="7"/>
        <v>Luca</v>
      </c>
      <c r="M27" s="1">
        <f t="shared" si="8"/>
        <v>46666</v>
      </c>
      <c r="T27" s="18">
        <v>8</v>
      </c>
      <c r="U27" s="11" t="str">
        <f t="shared" ca="1" si="3"/>
        <v>Fabio</v>
      </c>
      <c r="V27" s="19">
        <f t="shared" ca="1" si="6"/>
        <v>63814</v>
      </c>
    </row>
    <row r="28" spans="3:28" ht="15.75" customHeight="1" x14ac:dyDescent="0.25">
      <c r="D28">
        <v>8</v>
      </c>
      <c r="E28" t="str">
        <f t="shared" ca="1" si="4"/>
        <v>Zade</v>
      </c>
      <c r="F28" s="1">
        <f t="shared" ca="1" si="5"/>
        <v>96685</v>
      </c>
      <c r="K28">
        <v>8</v>
      </c>
      <c r="L28" t="str">
        <f t="shared" si="7"/>
        <v>Zade</v>
      </c>
      <c r="M28" s="1">
        <f t="shared" si="8"/>
        <v>20139</v>
      </c>
      <c r="T28" s="18">
        <v>9</v>
      </c>
      <c r="U28" s="11" t="str">
        <f t="shared" ca="1" si="3"/>
        <v>Vinicius</v>
      </c>
      <c r="V28" s="19">
        <f t="shared" ca="1" si="6"/>
        <v>59345</v>
      </c>
    </row>
    <row r="29" spans="3:28" ht="15.75" customHeight="1" x14ac:dyDescent="0.25">
      <c r="D29">
        <v>9</v>
      </c>
      <c r="E29" t="str">
        <f t="shared" ca="1" si="4"/>
        <v>Luiz</v>
      </c>
      <c r="F29" s="1">
        <f t="shared" ca="1" si="5"/>
        <v>64494</v>
      </c>
      <c r="K29">
        <v>9</v>
      </c>
      <c r="L29" t="str">
        <f t="shared" si="7"/>
        <v>Luiz</v>
      </c>
      <c r="M29" s="1">
        <f t="shared" si="8"/>
        <v>12654</v>
      </c>
      <c r="T29" s="18">
        <v>10</v>
      </c>
      <c r="U29" s="11" t="str">
        <f t="shared" ca="1" si="3"/>
        <v>Cristina</v>
      </c>
      <c r="V29" s="19">
        <f t="shared" ca="1" si="6"/>
        <v>56416</v>
      </c>
    </row>
    <row r="30" spans="3:28" ht="15.75" customHeight="1" x14ac:dyDescent="0.25">
      <c r="D30">
        <v>10</v>
      </c>
      <c r="E30" t="str">
        <f t="shared" ca="1" si="4"/>
        <v>Vinicius</v>
      </c>
      <c r="F30" s="1">
        <f t="shared" ca="1" si="5"/>
        <v>59345</v>
      </c>
      <c r="K30">
        <v>10</v>
      </c>
      <c r="L30" t="str">
        <f t="shared" si="7"/>
        <v>Ramiro</v>
      </c>
      <c r="M30" s="1">
        <f t="shared" si="8"/>
        <v>10665</v>
      </c>
      <c r="T30" s="18">
        <v>11</v>
      </c>
      <c r="U30" s="11" t="str">
        <f t="shared" ca="1" si="3"/>
        <v>Luiz</v>
      </c>
      <c r="V30" s="19">
        <f t="shared" ca="1" si="6"/>
        <v>51840</v>
      </c>
    </row>
    <row r="31" spans="3:28" ht="15.75" customHeight="1" x14ac:dyDescent="0.25">
      <c r="D31">
        <v>11</v>
      </c>
      <c r="E31" t="str">
        <f t="shared" ca="1" si="4"/>
        <v>Ramiro</v>
      </c>
      <c r="F31" s="1">
        <f t="shared" ca="1" si="5"/>
        <v>-24335</v>
      </c>
      <c r="K31">
        <v>11</v>
      </c>
      <c r="L31" t="str">
        <f t="shared" si="7"/>
        <v>Vinicius</v>
      </c>
      <c r="M31" s="1">
        <f t="shared" si="8"/>
        <v>0</v>
      </c>
      <c r="T31" s="18">
        <v>12</v>
      </c>
      <c r="U31" s="11" t="str">
        <f t="shared" ca="1" si="3"/>
        <v>Eduardo</v>
      </c>
      <c r="V31" s="19">
        <f t="shared" ca="1" si="6"/>
        <v>34981</v>
      </c>
    </row>
    <row r="32" spans="3:28" ht="15.75" customHeight="1" x14ac:dyDescent="0.25">
      <c r="K32">
        <v>12</v>
      </c>
      <c r="L32" t="str">
        <f t="shared" si="7"/>
        <v>Vinicius</v>
      </c>
      <c r="M32" s="1">
        <f t="shared" si="8"/>
        <v>0</v>
      </c>
      <c r="T32" s="18">
        <v>13</v>
      </c>
      <c r="U32" s="11" t="str">
        <f t="shared" ca="1" si="3"/>
        <v>Bastian</v>
      </c>
      <c r="V32" s="19">
        <f t="shared" ca="1" si="6"/>
        <v>32281</v>
      </c>
    </row>
    <row r="33" spans="13:22" ht="15.75" customHeight="1" x14ac:dyDescent="0.25">
      <c r="M33" s="1"/>
      <c r="R33" s="9"/>
      <c r="S33"/>
      <c r="T33" s="18">
        <v>14</v>
      </c>
      <c r="U33" s="11" t="str">
        <f ca="1">INDEX($A$2:$A$16,MATCH(V33,$AN$2:$AN$16,0))</f>
        <v>Marcelo</v>
      </c>
      <c r="V33" s="19">
        <f t="shared" ca="1" si="6"/>
        <v>-10000</v>
      </c>
    </row>
    <row r="34" spans="13:22" ht="15.75" customHeight="1" x14ac:dyDescent="0.25">
      <c r="M34" s="1"/>
      <c r="R34" s="9"/>
      <c r="S34"/>
      <c r="T34" s="18">
        <v>15</v>
      </c>
      <c r="U34" s="11" t="str">
        <f ca="1">INDEX($A$2:$A$15,MATCH(V34,$AN$2:$AN$16,0))</f>
        <v>Ramiro</v>
      </c>
      <c r="V34" s="19">
        <f t="shared" ca="1" si="6"/>
        <v>-35000</v>
      </c>
    </row>
    <row r="35" spans="13:22" ht="15.75" customHeight="1" x14ac:dyDescent="0.25">
      <c r="M35" s="1"/>
      <c r="R35" s="9"/>
      <c r="S35"/>
      <c r="V35" s="1"/>
    </row>
    <row r="36" spans="13:22" ht="15.75" customHeight="1" x14ac:dyDescent="0.25">
      <c r="R36" s="9"/>
      <c r="S36" t="s">
        <v>25</v>
      </c>
      <c r="U36">
        <v>-2500</v>
      </c>
    </row>
  </sheetData>
  <conditionalFormatting sqref="S2:S16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:T14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2:U14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:V14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2:W14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2:X14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2:Y14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2:Z14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2:AA1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2:AB1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2:AC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2:AD15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2:AE1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2:AF1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F2EB8-B8CD-3746-BB08-027F906E5E10}">
  <dimension ref="A1:AS21"/>
  <sheetViews>
    <sheetView tabSelected="1" workbookViewId="0">
      <pane xSplit="2" topLeftCell="C1" activePane="topRight" state="frozen"/>
      <selection pane="topRight" activeCell="D22" sqref="D22"/>
    </sheetView>
  </sheetViews>
  <sheetFormatPr defaultColWidth="11" defaultRowHeight="15.75" x14ac:dyDescent="0.25"/>
  <cols>
    <col min="2" max="2" width="13.875" bestFit="1" customWidth="1"/>
    <col min="3" max="3" width="13.875" customWidth="1"/>
    <col min="4" max="4" width="36.125" bestFit="1" customWidth="1"/>
    <col min="5" max="5" width="16.5" bestFit="1" customWidth="1"/>
    <col min="6" max="6" width="9.125" customWidth="1"/>
    <col min="16" max="17" width="6.625" bestFit="1" customWidth="1"/>
    <col min="18" max="18" width="18" customWidth="1"/>
    <col min="19" max="19" width="11" style="8"/>
    <col min="21" max="21" width="17.375" bestFit="1" customWidth="1"/>
    <col min="22" max="22" width="22" bestFit="1" customWidth="1"/>
    <col min="30" max="30" width="6.625" bestFit="1" customWidth="1"/>
    <col min="39" max="39" width="11" style="9"/>
  </cols>
  <sheetData>
    <row r="1" spans="1:45" x14ac:dyDescent="0.25">
      <c r="A1" s="2" t="s">
        <v>0</v>
      </c>
      <c r="B1" s="2" t="s">
        <v>26</v>
      </c>
      <c r="C1" s="2"/>
      <c r="D1" s="3">
        <v>46245</v>
      </c>
      <c r="E1" s="3">
        <v>46246</v>
      </c>
      <c r="F1" s="3">
        <v>46247</v>
      </c>
      <c r="G1" s="3">
        <v>46248</v>
      </c>
      <c r="H1" s="3">
        <v>46251</v>
      </c>
      <c r="I1" s="3">
        <v>46252</v>
      </c>
      <c r="J1" s="3">
        <v>46253</v>
      </c>
      <c r="K1" s="3">
        <v>46254</v>
      </c>
      <c r="L1" s="3">
        <v>46255</v>
      </c>
      <c r="M1" s="3">
        <v>46258</v>
      </c>
      <c r="N1" s="3">
        <v>46259</v>
      </c>
      <c r="O1" s="3">
        <v>46260</v>
      </c>
      <c r="P1" s="3">
        <v>46261</v>
      </c>
      <c r="Q1" s="3">
        <v>46262</v>
      </c>
      <c r="R1" s="3">
        <v>46265</v>
      </c>
      <c r="S1" s="5">
        <v>46266</v>
      </c>
      <c r="T1" s="6">
        <v>46267</v>
      </c>
      <c r="U1" s="6">
        <v>46268</v>
      </c>
      <c r="V1" s="6">
        <v>46269</v>
      </c>
      <c r="W1" s="6">
        <v>46273</v>
      </c>
      <c r="X1" s="6">
        <v>46274</v>
      </c>
      <c r="Y1" s="6">
        <v>46275</v>
      </c>
      <c r="Z1" s="6">
        <v>46276</v>
      </c>
      <c r="AA1" s="6">
        <v>46279</v>
      </c>
      <c r="AB1" s="6">
        <v>46280</v>
      </c>
      <c r="AC1" s="6">
        <v>46281</v>
      </c>
      <c r="AD1" s="6">
        <v>46282</v>
      </c>
      <c r="AE1" s="6">
        <v>46283</v>
      </c>
      <c r="AF1" s="6">
        <v>46286</v>
      </c>
      <c r="AG1" s="6">
        <v>46287</v>
      </c>
      <c r="AH1" s="6">
        <v>46288</v>
      </c>
      <c r="AI1" s="6">
        <v>46289</v>
      </c>
      <c r="AJ1" s="6">
        <v>46290</v>
      </c>
      <c r="AK1" s="6">
        <v>46293</v>
      </c>
      <c r="AL1" s="6">
        <v>46294</v>
      </c>
      <c r="AM1" s="7">
        <v>46295</v>
      </c>
      <c r="AN1" s="3">
        <v>46296</v>
      </c>
      <c r="AO1" s="3">
        <v>46297</v>
      </c>
      <c r="AP1" s="3">
        <v>46298</v>
      </c>
      <c r="AQ1" s="3">
        <v>46299</v>
      </c>
      <c r="AR1" s="3">
        <v>46300</v>
      </c>
      <c r="AS1" s="3">
        <v>46301</v>
      </c>
    </row>
    <row r="2" spans="1:45" x14ac:dyDescent="0.25">
      <c r="A2" t="s">
        <v>27</v>
      </c>
      <c r="B2" s="34" t="s">
        <v>28</v>
      </c>
      <c r="C2" t="s">
        <v>43</v>
      </c>
      <c r="D2" s="1">
        <v>20002</v>
      </c>
      <c r="E2" s="1">
        <v>13841</v>
      </c>
      <c r="F2" s="1">
        <v>16979</v>
      </c>
      <c r="G2" s="1"/>
      <c r="H2" s="1">
        <v>15903</v>
      </c>
      <c r="I2" s="1">
        <v>17194</v>
      </c>
      <c r="J2" s="1">
        <v>19439</v>
      </c>
      <c r="L2" s="1"/>
      <c r="M2" s="1"/>
      <c r="N2" s="1"/>
      <c r="O2" s="1">
        <v>10741</v>
      </c>
      <c r="P2" s="1">
        <v>20723</v>
      </c>
      <c r="Q2" s="1">
        <v>15396</v>
      </c>
      <c r="R2" s="1">
        <v>18345</v>
      </c>
      <c r="S2" s="1">
        <v>16757</v>
      </c>
      <c r="T2" s="1">
        <v>18501</v>
      </c>
      <c r="U2" s="1">
        <v>19000</v>
      </c>
      <c r="V2" s="1">
        <v>17483</v>
      </c>
      <c r="W2" s="1">
        <v>7254</v>
      </c>
      <c r="X2" s="1">
        <v>19004</v>
      </c>
      <c r="Y2" s="1">
        <v>15850</v>
      </c>
      <c r="Z2" s="1">
        <v>11279</v>
      </c>
      <c r="AA2" s="1">
        <v>16641</v>
      </c>
      <c r="AB2" s="1">
        <v>15479</v>
      </c>
      <c r="AC2" s="1">
        <v>18731</v>
      </c>
      <c r="AD2" s="1">
        <v>20358</v>
      </c>
      <c r="AE2" s="1">
        <v>20607</v>
      </c>
      <c r="AF2" s="1">
        <v>17314</v>
      </c>
      <c r="AG2" s="1">
        <v>19445</v>
      </c>
      <c r="AH2" s="1"/>
      <c r="AI2" s="1"/>
      <c r="AJ2" s="1"/>
      <c r="AK2" s="1"/>
      <c r="AL2" s="1"/>
      <c r="AM2" s="1"/>
    </row>
    <row r="3" spans="1:45" x14ac:dyDescent="0.25">
      <c r="A3" t="s">
        <v>5</v>
      </c>
      <c r="B3" t="s">
        <v>29</v>
      </c>
      <c r="D3" s="1">
        <v>17952</v>
      </c>
      <c r="E3" s="1">
        <v>17597</v>
      </c>
      <c r="F3" s="1">
        <v>10928</v>
      </c>
      <c r="H3" s="1"/>
      <c r="I3" s="1"/>
      <c r="J3" s="1">
        <v>20277</v>
      </c>
      <c r="K3" s="1">
        <v>17190</v>
      </c>
      <c r="L3" s="1">
        <v>13660</v>
      </c>
      <c r="M3" s="1">
        <v>9885</v>
      </c>
      <c r="N3" s="1">
        <v>13124</v>
      </c>
      <c r="O3" s="1">
        <v>10084</v>
      </c>
      <c r="P3" s="1">
        <v>15802</v>
      </c>
      <c r="Q3" s="1">
        <v>16903</v>
      </c>
      <c r="R3" s="1">
        <v>16170</v>
      </c>
      <c r="S3" s="1">
        <v>7560</v>
      </c>
      <c r="T3" s="1">
        <v>13528</v>
      </c>
      <c r="U3" s="1">
        <v>12511</v>
      </c>
      <c r="V3" s="1">
        <v>16659</v>
      </c>
      <c r="W3" s="1">
        <v>9690</v>
      </c>
      <c r="X3" s="1">
        <v>19534</v>
      </c>
      <c r="Y3" s="1">
        <v>8846</v>
      </c>
      <c r="Z3" s="1">
        <v>11355</v>
      </c>
      <c r="AA3" s="1">
        <v>15149</v>
      </c>
      <c r="AB3" s="1">
        <v>15694</v>
      </c>
      <c r="AC3" s="1">
        <v>19008</v>
      </c>
      <c r="AD3" s="1">
        <v>20195</v>
      </c>
      <c r="AE3" s="1"/>
      <c r="AF3" s="1">
        <v>18406</v>
      </c>
      <c r="AG3" s="1">
        <v>17586</v>
      </c>
      <c r="AH3" s="1"/>
      <c r="AI3" s="1"/>
      <c r="AJ3" s="1"/>
      <c r="AK3" s="1"/>
      <c r="AL3" s="1"/>
      <c r="AM3" s="1"/>
    </row>
    <row r="4" spans="1:45" x14ac:dyDescent="0.25">
      <c r="A4" t="s">
        <v>6</v>
      </c>
      <c r="B4" s="34" t="s">
        <v>30</v>
      </c>
      <c r="C4" t="s">
        <v>42</v>
      </c>
      <c r="D4" s="1">
        <v>18919</v>
      </c>
      <c r="E4" s="1">
        <v>14673</v>
      </c>
      <c r="F4" s="1">
        <v>15891</v>
      </c>
      <c r="G4" s="1">
        <v>13805</v>
      </c>
      <c r="H4" s="1">
        <v>16552</v>
      </c>
      <c r="I4" s="1"/>
      <c r="J4" s="1">
        <v>15423</v>
      </c>
      <c r="K4" s="1">
        <v>8437</v>
      </c>
      <c r="L4" s="1">
        <v>15156</v>
      </c>
      <c r="M4" s="1">
        <v>15521</v>
      </c>
      <c r="N4" s="1">
        <v>11300</v>
      </c>
      <c r="O4" s="1">
        <v>10234</v>
      </c>
      <c r="P4" s="1">
        <v>16791</v>
      </c>
      <c r="Q4" s="1">
        <v>20223</v>
      </c>
      <c r="R4" s="1">
        <v>16203</v>
      </c>
      <c r="S4" s="1">
        <v>14427</v>
      </c>
      <c r="T4" s="1">
        <v>14928</v>
      </c>
      <c r="U4" s="1">
        <v>14240</v>
      </c>
      <c r="V4" s="1">
        <v>20403</v>
      </c>
      <c r="W4" s="1">
        <v>6757</v>
      </c>
      <c r="X4" s="1">
        <v>22421</v>
      </c>
      <c r="Y4" s="1">
        <v>7030</v>
      </c>
      <c r="Z4" s="1">
        <v>18575</v>
      </c>
      <c r="AA4" s="1">
        <v>22367</v>
      </c>
      <c r="AB4" s="1">
        <v>16070</v>
      </c>
      <c r="AC4" s="1">
        <v>11888</v>
      </c>
      <c r="AD4" s="1">
        <v>15573</v>
      </c>
      <c r="AE4" s="1">
        <v>15379</v>
      </c>
      <c r="AF4" s="1">
        <v>22051</v>
      </c>
      <c r="AG4" s="1">
        <v>18063</v>
      </c>
      <c r="AH4" s="1"/>
      <c r="AI4" s="1"/>
      <c r="AJ4" s="1"/>
      <c r="AK4" s="1"/>
      <c r="AL4" s="1"/>
      <c r="AM4" s="1"/>
    </row>
    <row r="5" spans="1:45" x14ac:dyDescent="0.25">
      <c r="A5" t="s">
        <v>7</v>
      </c>
      <c r="B5" s="34" t="s">
        <v>31</v>
      </c>
      <c r="C5" t="s">
        <v>47</v>
      </c>
      <c r="D5" s="1">
        <v>19900</v>
      </c>
      <c r="E5" s="1">
        <v>18310</v>
      </c>
      <c r="F5" s="1">
        <v>15126</v>
      </c>
      <c r="G5" s="1">
        <v>20385</v>
      </c>
      <c r="H5" s="1">
        <v>13413</v>
      </c>
      <c r="I5" s="1">
        <v>12977</v>
      </c>
      <c r="J5" s="1">
        <v>11722</v>
      </c>
      <c r="K5" s="1">
        <v>12256</v>
      </c>
      <c r="L5" s="1">
        <v>15499</v>
      </c>
      <c r="M5" s="1">
        <v>10807</v>
      </c>
      <c r="N5" s="1">
        <v>15381</v>
      </c>
      <c r="O5" s="1">
        <v>9950</v>
      </c>
      <c r="P5" s="1">
        <v>14201</v>
      </c>
      <c r="Q5" s="1">
        <v>16333</v>
      </c>
      <c r="R5" s="1">
        <v>12814</v>
      </c>
      <c r="S5" s="1">
        <v>11188</v>
      </c>
      <c r="T5" s="1">
        <v>10020</v>
      </c>
      <c r="U5" s="1">
        <v>10256</v>
      </c>
      <c r="V5" s="1">
        <v>14968</v>
      </c>
      <c r="W5" s="1">
        <v>14499</v>
      </c>
      <c r="X5" s="1">
        <v>18630</v>
      </c>
      <c r="Y5" s="1">
        <v>8344</v>
      </c>
      <c r="Z5" s="1">
        <v>15266</v>
      </c>
      <c r="AA5" s="1">
        <v>9157</v>
      </c>
      <c r="AB5" s="1">
        <v>15563</v>
      </c>
      <c r="AC5" s="1">
        <v>10573</v>
      </c>
      <c r="AD5" s="1">
        <v>17165</v>
      </c>
      <c r="AE5" s="1">
        <v>13299</v>
      </c>
      <c r="AF5" s="1">
        <v>13648</v>
      </c>
      <c r="AG5" s="1">
        <v>23442</v>
      </c>
      <c r="AH5" s="1"/>
      <c r="AI5" s="1"/>
      <c r="AJ5" s="1"/>
      <c r="AK5" s="1"/>
      <c r="AL5" s="1"/>
      <c r="AM5" s="1"/>
    </row>
    <row r="6" spans="1:45" x14ac:dyDescent="0.25">
      <c r="A6" t="s">
        <v>8</v>
      </c>
      <c r="B6" s="34" t="s">
        <v>32</v>
      </c>
      <c r="C6" t="s">
        <v>50</v>
      </c>
      <c r="D6" s="1">
        <v>22906</v>
      </c>
      <c r="E6" s="1">
        <v>17417</v>
      </c>
      <c r="F6" s="1">
        <v>15711</v>
      </c>
      <c r="G6" s="1">
        <v>18196</v>
      </c>
      <c r="H6" s="1">
        <v>16982</v>
      </c>
      <c r="I6" s="1">
        <v>15565</v>
      </c>
      <c r="J6" s="1">
        <v>17662</v>
      </c>
      <c r="K6" s="1">
        <v>16370</v>
      </c>
      <c r="L6" s="1">
        <v>17887</v>
      </c>
      <c r="M6" s="1"/>
      <c r="N6" s="1">
        <v>19382</v>
      </c>
      <c r="O6" s="1">
        <v>12765</v>
      </c>
      <c r="P6" s="1">
        <v>22781</v>
      </c>
      <c r="Q6" s="1">
        <v>11749</v>
      </c>
      <c r="R6" s="1">
        <v>16268</v>
      </c>
      <c r="S6" s="1">
        <v>15383</v>
      </c>
      <c r="T6" s="1">
        <v>19596</v>
      </c>
      <c r="U6" s="1"/>
      <c r="V6" s="1">
        <v>20060</v>
      </c>
      <c r="W6" s="1">
        <v>15787</v>
      </c>
      <c r="X6" s="1">
        <v>22485</v>
      </c>
      <c r="Y6" s="1">
        <v>13741</v>
      </c>
      <c r="Z6" s="1">
        <v>16688</v>
      </c>
      <c r="AA6" s="1">
        <v>17859</v>
      </c>
      <c r="AB6" s="1">
        <v>17002</v>
      </c>
      <c r="AC6" s="1">
        <v>21178</v>
      </c>
      <c r="AD6" s="1">
        <v>19634</v>
      </c>
      <c r="AE6" s="1">
        <v>12019</v>
      </c>
      <c r="AF6" s="1">
        <v>16800</v>
      </c>
      <c r="AG6" s="1">
        <v>19640</v>
      </c>
      <c r="AH6" s="1"/>
      <c r="AI6" s="1"/>
      <c r="AJ6" s="1"/>
      <c r="AK6" s="1"/>
      <c r="AL6" s="1"/>
      <c r="AM6" s="1"/>
    </row>
    <row r="7" spans="1:45" x14ac:dyDescent="0.25">
      <c r="A7" t="s">
        <v>9</v>
      </c>
      <c r="D7" s="1">
        <v>17030</v>
      </c>
      <c r="E7" s="1">
        <v>14564</v>
      </c>
      <c r="F7" s="1"/>
      <c r="G7" s="1"/>
      <c r="H7" s="1"/>
      <c r="I7" s="1"/>
      <c r="J7" s="1"/>
      <c r="K7" s="1">
        <v>9638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</row>
    <row r="8" spans="1:45" x14ac:dyDescent="0.25">
      <c r="A8" t="s">
        <v>10</v>
      </c>
      <c r="B8" s="34" t="s">
        <v>33</v>
      </c>
      <c r="C8" t="s">
        <v>52</v>
      </c>
      <c r="D8" s="1">
        <v>23761</v>
      </c>
      <c r="E8" s="1">
        <v>21642</v>
      </c>
      <c r="F8" s="1">
        <v>18616</v>
      </c>
      <c r="G8" s="1">
        <v>14692</v>
      </c>
      <c r="H8" s="1">
        <v>14463</v>
      </c>
      <c r="I8" s="1">
        <v>19984</v>
      </c>
      <c r="J8" s="1">
        <v>22328</v>
      </c>
      <c r="K8" s="1">
        <v>11840</v>
      </c>
      <c r="L8" s="1">
        <v>21052</v>
      </c>
      <c r="M8" s="1">
        <v>9548</v>
      </c>
      <c r="N8" s="1">
        <v>16661</v>
      </c>
      <c r="O8" s="1">
        <v>11748</v>
      </c>
      <c r="P8" s="1">
        <v>20558</v>
      </c>
      <c r="Q8" s="1">
        <v>18215</v>
      </c>
      <c r="R8" s="1">
        <v>16934</v>
      </c>
      <c r="S8" s="1">
        <v>14955</v>
      </c>
      <c r="T8" s="1">
        <v>20138</v>
      </c>
      <c r="U8" s="1">
        <v>18272</v>
      </c>
      <c r="V8" s="1">
        <v>19232</v>
      </c>
      <c r="W8" s="1">
        <v>13727</v>
      </c>
      <c r="X8" s="1">
        <v>19118</v>
      </c>
      <c r="Y8" s="1">
        <v>14984</v>
      </c>
      <c r="Z8" s="1">
        <v>14951</v>
      </c>
      <c r="AA8" s="1">
        <v>18756</v>
      </c>
      <c r="AB8" s="1">
        <v>20081</v>
      </c>
      <c r="AC8" s="1">
        <v>17266</v>
      </c>
      <c r="AD8" s="1">
        <v>18741</v>
      </c>
      <c r="AE8" s="1">
        <v>17270</v>
      </c>
      <c r="AF8" s="1">
        <v>22074</v>
      </c>
      <c r="AG8" s="1"/>
      <c r="AH8" s="1"/>
      <c r="AI8" s="1"/>
      <c r="AJ8" s="1"/>
      <c r="AK8" s="1"/>
      <c r="AL8" s="1"/>
      <c r="AM8" s="1"/>
    </row>
    <row r="9" spans="1:45" x14ac:dyDescent="0.25">
      <c r="A9" t="s">
        <v>11</v>
      </c>
      <c r="B9" s="34" t="s">
        <v>34</v>
      </c>
      <c r="C9" t="s">
        <v>51</v>
      </c>
      <c r="D9" s="1">
        <v>16668</v>
      </c>
      <c r="E9" s="1">
        <v>20595</v>
      </c>
      <c r="F9" s="1">
        <v>18887</v>
      </c>
      <c r="G9" s="1">
        <v>16992</v>
      </c>
      <c r="H9" s="1"/>
      <c r="I9" s="1"/>
      <c r="J9" s="1">
        <v>17097</v>
      </c>
      <c r="K9" s="1">
        <v>15668</v>
      </c>
      <c r="L9" s="1"/>
      <c r="M9" s="1">
        <v>16598</v>
      </c>
      <c r="N9" s="1">
        <v>18265</v>
      </c>
      <c r="O9" s="1"/>
      <c r="P9" s="1">
        <v>19859</v>
      </c>
      <c r="Q9" s="1">
        <v>21482</v>
      </c>
      <c r="R9" s="1"/>
      <c r="S9" s="1">
        <v>4582</v>
      </c>
      <c r="T9" s="1">
        <v>19461</v>
      </c>
      <c r="U9" s="1"/>
      <c r="V9" s="1">
        <v>23079</v>
      </c>
      <c r="W9" s="1">
        <v>12470</v>
      </c>
      <c r="X9" s="1">
        <v>20916</v>
      </c>
      <c r="Y9" s="1">
        <v>15296</v>
      </c>
      <c r="Z9" s="1">
        <v>14662</v>
      </c>
      <c r="AA9" s="1">
        <v>16825</v>
      </c>
      <c r="AB9" s="1">
        <v>16426</v>
      </c>
      <c r="AC9" s="1">
        <v>18636</v>
      </c>
      <c r="AD9" s="1">
        <v>17383</v>
      </c>
      <c r="AE9" s="1">
        <v>15119</v>
      </c>
      <c r="AF9" s="1">
        <v>17305</v>
      </c>
      <c r="AG9" s="1">
        <v>19040</v>
      </c>
      <c r="AH9" s="1"/>
      <c r="AI9" s="1"/>
      <c r="AJ9" s="1"/>
      <c r="AK9" s="1"/>
      <c r="AL9" s="1"/>
      <c r="AM9" s="1"/>
    </row>
    <row r="10" spans="1:45" x14ac:dyDescent="0.25">
      <c r="A10" t="s">
        <v>12</v>
      </c>
      <c r="B10" s="34" t="s">
        <v>35</v>
      </c>
      <c r="C10" s="34"/>
      <c r="D10" s="1"/>
      <c r="E10" s="1"/>
      <c r="F10" s="1"/>
      <c r="G10" s="1"/>
      <c r="H10" s="1"/>
      <c r="I10" s="1"/>
      <c r="J10" s="1"/>
      <c r="K10" s="1"/>
      <c r="L10" s="1"/>
      <c r="M10" s="1"/>
      <c r="N10" s="1">
        <v>19442</v>
      </c>
      <c r="O10" s="1">
        <v>8440</v>
      </c>
      <c r="P10" s="1">
        <v>21927</v>
      </c>
      <c r="Q10" s="1">
        <v>5114</v>
      </c>
      <c r="R10" s="1">
        <v>16995</v>
      </c>
      <c r="S10" s="1">
        <v>20918</v>
      </c>
      <c r="T10" s="1">
        <v>14071</v>
      </c>
      <c r="U10" s="1">
        <v>13078</v>
      </c>
      <c r="V10" s="1">
        <v>20708</v>
      </c>
      <c r="W10" s="1">
        <v>11176</v>
      </c>
      <c r="X10" s="1">
        <v>12972</v>
      </c>
      <c r="Y10" s="1">
        <v>7379</v>
      </c>
      <c r="Z10" s="1">
        <v>14231</v>
      </c>
      <c r="AA10" s="1">
        <v>16223</v>
      </c>
      <c r="AB10" s="1">
        <v>15382</v>
      </c>
      <c r="AC10" s="1">
        <v>15014</v>
      </c>
      <c r="AD10" s="1">
        <v>15815</v>
      </c>
      <c r="AE10" s="1">
        <v>5408</v>
      </c>
      <c r="AF10" s="1">
        <v>14546</v>
      </c>
      <c r="AG10" s="1">
        <v>21829</v>
      </c>
      <c r="AH10" s="1"/>
      <c r="AI10" s="1"/>
      <c r="AJ10" s="1"/>
      <c r="AK10" s="1"/>
      <c r="AL10" s="1"/>
      <c r="AM10" s="1"/>
    </row>
    <row r="11" spans="1:45" x14ac:dyDescent="0.25">
      <c r="A11" t="s">
        <v>13</v>
      </c>
      <c r="B11" s="34" t="s">
        <v>36</v>
      </c>
      <c r="C11" t="s">
        <v>45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>
        <v>17768</v>
      </c>
      <c r="R11" s="1">
        <v>12724</v>
      </c>
      <c r="S11" s="1">
        <v>9463</v>
      </c>
      <c r="T11" s="1"/>
      <c r="U11" s="1">
        <v>15339</v>
      </c>
      <c r="V11" s="1">
        <v>14051</v>
      </c>
      <c r="W11" s="1">
        <v>3882</v>
      </c>
      <c r="X11" s="1">
        <v>17923</v>
      </c>
      <c r="Y11" s="1">
        <v>6031</v>
      </c>
      <c r="Z11" s="1">
        <v>17042</v>
      </c>
      <c r="AA11" s="1">
        <v>13865</v>
      </c>
      <c r="AB11" s="1">
        <v>19835</v>
      </c>
      <c r="AC11" s="1">
        <v>13412</v>
      </c>
      <c r="AD11" s="1">
        <v>11051</v>
      </c>
      <c r="AE11" s="1">
        <v>12795</v>
      </c>
      <c r="AF11" s="1">
        <v>11069</v>
      </c>
      <c r="AG11" s="1">
        <v>20766</v>
      </c>
      <c r="AH11" s="1"/>
      <c r="AI11" s="1"/>
      <c r="AJ11" s="1"/>
      <c r="AK11" s="1"/>
      <c r="AL11" s="1"/>
      <c r="AM11" s="1"/>
    </row>
    <row r="12" spans="1:45" x14ac:dyDescent="0.25">
      <c r="A12" t="s">
        <v>14</v>
      </c>
      <c r="B12" s="34" t="s">
        <v>37</v>
      </c>
      <c r="C12" t="s">
        <v>44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S12" s="1">
        <v>10576</v>
      </c>
      <c r="T12" s="1">
        <v>11021</v>
      </c>
      <c r="U12" s="1">
        <v>16616</v>
      </c>
      <c r="V12" s="1">
        <v>15916</v>
      </c>
      <c r="W12" s="1">
        <v>11671</v>
      </c>
      <c r="X12" s="1">
        <v>19717</v>
      </c>
      <c r="Y12" s="1">
        <v>9469</v>
      </c>
      <c r="Z12" s="1">
        <v>14119</v>
      </c>
      <c r="AA12" s="1">
        <v>11950</v>
      </c>
      <c r="AB12" s="1">
        <v>13849</v>
      </c>
      <c r="AC12" s="1">
        <v>17759</v>
      </c>
      <c r="AD12" s="1">
        <v>10524</v>
      </c>
      <c r="AE12" s="1">
        <v>7583</v>
      </c>
      <c r="AF12" s="1">
        <v>11498</v>
      </c>
      <c r="AG12" s="1">
        <v>19281</v>
      </c>
      <c r="AH12" s="1"/>
      <c r="AI12" s="1"/>
      <c r="AJ12" s="1"/>
      <c r="AK12" s="1"/>
      <c r="AL12" s="1"/>
      <c r="AM12" s="1"/>
    </row>
    <row r="13" spans="1:45" x14ac:dyDescent="0.25">
      <c r="A13" t="s">
        <v>15</v>
      </c>
      <c r="B13" s="34" t="s">
        <v>38</v>
      </c>
      <c r="C13" t="s">
        <v>49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S13" s="1">
        <v>12189</v>
      </c>
      <c r="T13" s="1">
        <v>11117</v>
      </c>
      <c r="U13" s="1">
        <v>8967</v>
      </c>
      <c r="V13" s="1">
        <v>12075</v>
      </c>
      <c r="W13" s="1">
        <v>3673</v>
      </c>
      <c r="X13" s="1">
        <v>10529</v>
      </c>
      <c r="Y13" s="1">
        <v>10406</v>
      </c>
      <c r="Z13" s="1">
        <v>9835</v>
      </c>
      <c r="AA13" s="1">
        <v>8252</v>
      </c>
      <c r="AB13" s="1">
        <v>13448</v>
      </c>
      <c r="AC13" s="1">
        <v>18483</v>
      </c>
      <c r="AD13" s="1">
        <v>16538</v>
      </c>
      <c r="AE13" s="1">
        <v>9311</v>
      </c>
      <c r="AF13" s="1">
        <v>13906</v>
      </c>
      <c r="AG13" s="1">
        <v>18456</v>
      </c>
      <c r="AH13" s="1"/>
      <c r="AI13" s="1"/>
      <c r="AJ13" s="1"/>
      <c r="AK13" s="1"/>
      <c r="AL13" s="1"/>
      <c r="AM13" s="1"/>
    </row>
    <row r="14" spans="1:45" x14ac:dyDescent="0.25">
      <c r="A14" t="s">
        <v>16</v>
      </c>
      <c r="B14" s="34" t="s">
        <v>39</v>
      </c>
      <c r="C14" t="s">
        <v>48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S14" s="1">
        <v>8735</v>
      </c>
      <c r="T14" s="1">
        <v>17470</v>
      </c>
      <c r="U14" s="1">
        <v>18553</v>
      </c>
      <c r="V14" s="1"/>
      <c r="W14" s="1"/>
      <c r="X14" s="1">
        <v>18498</v>
      </c>
      <c r="Y14" s="1"/>
      <c r="Z14" s="1">
        <v>11321</v>
      </c>
      <c r="AA14" s="1">
        <v>12230</v>
      </c>
      <c r="AB14" s="1">
        <v>16657</v>
      </c>
      <c r="AC14" s="1">
        <v>17911</v>
      </c>
      <c r="AD14" s="1">
        <v>15934</v>
      </c>
      <c r="AE14" s="1">
        <v>13380</v>
      </c>
      <c r="AF14" s="1">
        <v>16434</v>
      </c>
      <c r="AG14" s="1">
        <v>17218</v>
      </c>
      <c r="AH14" s="1"/>
      <c r="AI14" s="1"/>
      <c r="AJ14" s="1"/>
      <c r="AK14" s="1"/>
      <c r="AL14" s="1"/>
      <c r="AM14" s="1"/>
    </row>
    <row r="15" spans="1:45" x14ac:dyDescent="0.25">
      <c r="A15" t="s">
        <v>17</v>
      </c>
      <c r="B15" s="34" t="s">
        <v>40</v>
      </c>
      <c r="C15" t="s">
        <v>46</v>
      </c>
      <c r="D15" s="58"/>
      <c r="E15" s="58"/>
      <c r="F15" s="58"/>
      <c r="G15" s="58"/>
      <c r="H15" s="58"/>
      <c r="I15" s="58"/>
      <c r="J15" s="58"/>
      <c r="K15" s="58"/>
      <c r="S15"/>
      <c r="AC15" s="1">
        <v>16893</v>
      </c>
      <c r="AD15" s="1">
        <v>18504</v>
      </c>
      <c r="AE15" s="58">
        <v>14199</v>
      </c>
      <c r="AF15" s="58">
        <v>19202</v>
      </c>
      <c r="AG15" s="58">
        <v>18275</v>
      </c>
      <c r="AH15" s="58"/>
      <c r="AI15" s="58"/>
      <c r="AJ15" s="58"/>
      <c r="AK15" s="58"/>
      <c r="AL15" s="58"/>
      <c r="AM15" s="58"/>
      <c r="AN15" s="58"/>
      <c r="AO15" s="58"/>
      <c r="AP15" s="58"/>
      <c r="AQ15" s="58"/>
    </row>
    <row r="16" spans="1:45" x14ac:dyDescent="0.25">
      <c r="A16" t="s">
        <v>18</v>
      </c>
      <c r="B16" s="34"/>
      <c r="C16" s="34"/>
      <c r="D16" s="58"/>
      <c r="E16" s="58"/>
      <c r="F16" s="58"/>
      <c r="G16" s="58"/>
      <c r="H16" s="58"/>
      <c r="I16" s="58"/>
      <c r="J16" s="58"/>
      <c r="K16" s="58"/>
      <c r="S16"/>
      <c r="AE16" s="1"/>
      <c r="AF16" s="1"/>
      <c r="AG16" s="1"/>
      <c r="AH16" s="1"/>
      <c r="AI16" s="1"/>
      <c r="AJ16" s="1"/>
      <c r="AK16" s="1"/>
      <c r="AL16" s="1"/>
      <c r="AM16" s="1"/>
    </row>
    <row r="17" spans="1:39" x14ac:dyDescent="0.25">
      <c r="D17" s="1"/>
      <c r="L17" s="1"/>
      <c r="M17" s="1"/>
      <c r="N17" s="1"/>
      <c r="O17" s="1"/>
      <c r="P17" s="1"/>
      <c r="Q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</row>
    <row r="18" spans="1:39" x14ac:dyDescent="0.25">
      <c r="A18" t="s">
        <v>41</v>
      </c>
      <c r="D18" s="1" cm="1">
        <f t="array" ref="D18">SMALL(IF(D2:D16&gt;0,D2:D16),1)</f>
        <v>16668</v>
      </c>
      <c r="E18" s="1" cm="1">
        <f t="array" ref="E18">SMALL(IF(E2:E16&gt;0,E2:E16),1)</f>
        <v>13841</v>
      </c>
      <c r="F18" s="1" cm="1">
        <f t="array" ref="F18">SMALL(IF(F2:F16&gt;0,F2:F16),1)</f>
        <v>10928</v>
      </c>
      <c r="G18" s="1" cm="1">
        <f t="array" ref="G18">SMALL(IF(G2:G16&gt;0,G2:G16),1)</f>
        <v>13805</v>
      </c>
      <c r="H18" s="1" cm="1">
        <f t="array" ref="H18">SMALL(IF(H2:H16&gt;0,H2:H16),1)</f>
        <v>13413</v>
      </c>
      <c r="I18" s="1" cm="1">
        <f t="array" ref="I18">SMALL(IF(I2:I16&gt;0,I2:I16),1)</f>
        <v>12977</v>
      </c>
      <c r="J18" s="1" cm="1">
        <f t="array" ref="J18">SMALL(IF(J2:J16&gt;0,J2:J16),1)</f>
        <v>11722</v>
      </c>
      <c r="K18" s="1" cm="1">
        <f t="array" ref="K18">SMALL(IF(K2:K16&gt;0,K2:K16),1)</f>
        <v>8437</v>
      </c>
      <c r="L18" s="1" cm="1">
        <f t="array" ref="L18">SMALL(IF(L2:L16&gt;0,L2:L16),1)</f>
        <v>13660</v>
      </c>
      <c r="M18" s="1" cm="1">
        <f t="array" ref="M18">SMALL(IF(M2:M16&gt;0,M2:M16),1)</f>
        <v>9548</v>
      </c>
      <c r="N18" s="1" cm="1">
        <f t="array" ref="N18">SMALL(IF(N2:N16&gt;0,N2:N16),1)</f>
        <v>11300</v>
      </c>
      <c r="O18" s="1" cm="1">
        <f t="array" ref="O18">SMALL(IF(O2:O16&gt;0,O2:O16),1)</f>
        <v>8440</v>
      </c>
      <c r="P18" s="1" cm="1">
        <f t="array" ref="P18">SMALL(IF(P2:P16&gt;0,P2:P16),1)</f>
        <v>14201</v>
      </c>
      <c r="Q18" s="1" cm="1">
        <f t="array" ref="Q18">SMALL(IF(Q2:Q16&gt;0,Q2:Q16),1)</f>
        <v>5114</v>
      </c>
      <c r="R18" s="1" cm="1">
        <f t="array" ref="R18">SMALL(IF(R2:R16&gt;0,R2:R16),1)</f>
        <v>12724</v>
      </c>
      <c r="S18" s="1" cm="1">
        <f t="array" ref="S18">SMALL(IF(S2:S16&gt;0,S2:S16),1)</f>
        <v>4582</v>
      </c>
      <c r="T18" s="1" cm="1">
        <f t="array" ref="T18">SMALL(IF(T2:T16&gt;0,T2:T16),1)</f>
        <v>10020</v>
      </c>
      <c r="U18" s="1" cm="1">
        <f t="array" ref="U18">SMALL(IF(U2:U16&gt;0,U2:U16),1)</f>
        <v>8967</v>
      </c>
      <c r="V18" s="1" cm="1">
        <f t="array" ref="V18">SMALL(IF(V2:V16&gt;0,V2:V16),1)</f>
        <v>12075</v>
      </c>
      <c r="W18" s="1" cm="1">
        <f t="array" ref="W18">SMALL(IF(W2:W16&gt;0,W2:W16),1)</f>
        <v>3673</v>
      </c>
      <c r="X18" s="1" cm="1">
        <f t="array" ref="X18">SMALL(IF(X2:X16&gt;0,X2:X16),1)</f>
        <v>10529</v>
      </c>
      <c r="Y18" s="1" cm="1">
        <f t="array" ref="Y18">SMALL(IF(Y2:Y16&gt;0,Y2:Y16),1)</f>
        <v>6031</v>
      </c>
      <c r="Z18" s="1" cm="1">
        <f t="array" ref="Z18">SMALL(IF(Z2:Z16&gt;0,Z2:Z16),1)</f>
        <v>9835</v>
      </c>
      <c r="AA18" s="1" cm="1">
        <f t="array" ref="AA18">SMALL(IF(AA2:AA16&gt;0,AA2:AA16),1)</f>
        <v>8252</v>
      </c>
      <c r="AB18" s="1" cm="1">
        <f t="array" ref="AB18">SMALL(IF(AB2:AB16&gt;0,AB2:AB16),1)</f>
        <v>13448</v>
      </c>
      <c r="AC18" s="1" cm="1">
        <f t="array" ref="AC18">SMALL(IF(AC2:AC16&gt;0,AC2:AC16),1)</f>
        <v>10573</v>
      </c>
      <c r="AD18" s="1" cm="1">
        <f t="array" ref="AD18">SMALL(IF(AD2:AD16&gt;0,AD2:AD16),1)</f>
        <v>10524</v>
      </c>
      <c r="AE18" s="1" cm="1">
        <f t="array" ref="AE18">SMALL(IF(AE2:AE16&gt;0,AE2:AE16),1)</f>
        <v>5408</v>
      </c>
      <c r="AF18" s="1" cm="1">
        <f t="array" ref="AF18">SMALL(IF(AF2:AF16&gt;0,AF2:AF16),1)</f>
        <v>11069</v>
      </c>
      <c r="AG18" s="1" cm="1">
        <f t="array" ref="AG18">SMALL(IF(AG2:AG16&gt;0,AG2:AG16),1)</f>
        <v>17218</v>
      </c>
      <c r="AH18" s="1" t="e" cm="1">
        <f t="array" ref="AH18">SMALL(IF(AH2:AH16&gt;0,AH2:AH16),1)</f>
        <v>#NUM!</v>
      </c>
      <c r="AI18" s="1" t="e" cm="1">
        <f t="array" ref="AI18">SMALL(IF(AI2:AI16&gt;0,AI2:AI16),1)</f>
        <v>#NUM!</v>
      </c>
      <c r="AJ18" s="1" t="e" cm="1">
        <f t="array" ref="AJ18">SMALL(IF(AJ2:AJ16&gt;0,AJ2:AJ16),1)</f>
        <v>#NUM!</v>
      </c>
      <c r="AK18" s="1" t="e" cm="1">
        <f t="array" ref="AK18">SMALL(IF(AK2:AK16&gt;0,AK2:AK16),1)</f>
        <v>#NUM!</v>
      </c>
      <c r="AL18" s="1" t="e" cm="1">
        <f t="array" ref="AL18">SMALL(IF(AL2:AL16&gt;0,AL2:AL16),1)</f>
        <v>#NUM!</v>
      </c>
      <c r="AM18" s="1" t="e" cm="1">
        <f t="array" ref="AM18">SMALL(IF(AM2:AM16&gt;0,AM2:AM16),1)</f>
        <v>#NUM!</v>
      </c>
    </row>
    <row r="21" spans="1:39" x14ac:dyDescent="0.25">
      <c r="M21" s="4"/>
    </row>
  </sheetData>
  <hyperlinks>
    <hyperlink ref="B11" r:id="rId1" xr:uid="{02F051CC-F1AD-4769-8967-6556F0213B19}"/>
    <hyperlink ref="B4" r:id="rId2" xr:uid="{88977087-5310-1349-941E-F6C95A908B87}"/>
    <hyperlink ref="B13" r:id="rId3" xr:uid="{ABE53EFA-16F4-854A-AC35-6CA98B68CC9E}"/>
    <hyperlink ref="B5" r:id="rId4" xr:uid="{F9B1B86E-3484-4E42-BC0C-E19AD73D20CF}"/>
    <hyperlink ref="B14" r:id="rId5" xr:uid="{06DEA4E0-CD81-3046-A1A0-488C4AA416B4}"/>
    <hyperlink ref="B2" r:id="rId6" xr:uid="{B4AED6E1-5F53-44C2-981C-94099B428C27}"/>
    <hyperlink ref="B10" r:id="rId7" xr:uid="{9A879F31-588C-4D5C-9160-05DD3F15CD07}"/>
    <hyperlink ref="B6" r:id="rId8" xr:uid="{C9926259-9369-4411-938E-4A2F6965C7BB}"/>
    <hyperlink ref="B12" r:id="rId9" xr:uid="{A34A4179-0335-47B2-926A-AAE4566585DF}"/>
    <hyperlink ref="B8" r:id="rId10" xr:uid="{08407875-65F4-43BB-AAFD-3C5610DEE5E0}"/>
    <hyperlink ref="B9" r:id="rId11" xr:uid="{AF5C337F-37E3-3747-8B71-E8882115977F}"/>
    <hyperlink ref="B15" r:id="rId12" xr:uid="{5209DA6C-F44D-48D3-8F1A-64B94F4DBE14}"/>
  </hyperlinks>
  <pageMargins left="0.511811024" right="0.511811024" top="0.78740157499999996" bottom="0.78740157499999996" header="0.31496062000000002" footer="0.31496062000000002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07BD7D885202D4B881DE965808171A2" ma:contentTypeVersion="21" ma:contentTypeDescription="Create a new document." ma:contentTypeScope="" ma:versionID="e628e67781e58148da08cc9a423e34ac">
  <xsd:schema xmlns:xsd="http://www.w3.org/2001/XMLSchema" xmlns:xs="http://www.w3.org/2001/XMLSchema" xmlns:p="http://schemas.microsoft.com/office/2006/metadata/properties" xmlns:ns1="http://schemas.microsoft.com/sharepoint/v3" xmlns:ns2="http://schemas.microsoft.com/sharepoint/v3/fields" xmlns:ns3="785387c9-1a44-48cf-b0b2-d4177fe7dfa3" xmlns:ns4="36e0e5ea-6b14-435f-bb9e-117d69330ed0" targetNamespace="http://schemas.microsoft.com/office/2006/metadata/properties" ma:root="true" ma:fieldsID="d60deac132dcccf7012bc263fc66c799" ns1:_="" ns2:_="" ns3:_="" ns4:_="">
    <xsd:import namespace="http://schemas.microsoft.com/sharepoint/v3"/>
    <xsd:import namespace="http://schemas.microsoft.com/sharepoint/v3/fields"/>
    <xsd:import namespace="785387c9-1a44-48cf-b0b2-d4177fe7dfa3"/>
    <xsd:import namespace="36e0e5ea-6b14-435f-bb9e-117d69330ed0"/>
    <xsd:element name="properties">
      <xsd:complexType>
        <xsd:sequence>
          <xsd:element name="documentManagement">
            <xsd:complexType>
              <xsd:all>
                <xsd:element ref="ns2:Description" minOccurs="0"/>
                <xsd:element ref="ns1:Comments" minOccurs="0"/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4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Comments" ma:index="9" nillable="true" ma:displayName="Comments" ma:internalName="Comments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Description" ma:index="8" nillable="true" ma:displayName="Description" ma:internalName="Description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5387c9-1a44-48cf-b0b2-d4177fe7df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e0e5ea-6b14-435f-bb9e-117d69330ed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20f83b76-1bb2-47e5-8cd1-14250a74a910}" ma:internalName="TaxCatchAll" ma:showField="CatchAllData" ma:web="36e0e5ea-6b14-435f-bb9e-117d69330ed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6e0e5ea-6b14-435f-bb9e-117d69330ed0" xsi:nil="true"/>
    <lcf76f155ced4ddcb4097134ff3c332f xmlns="785387c9-1a44-48cf-b0b2-d4177fe7dfa3">
      <Terms xmlns="http://schemas.microsoft.com/office/infopath/2007/PartnerControls"/>
    </lcf76f155ced4ddcb4097134ff3c332f>
    <Comments xmlns="http://schemas.microsoft.com/sharepoint/v3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9DD3DD9A-1A7F-4C72-975C-3EDAE3526E1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DB9A0A5-F691-41D0-8226-1C3CDDFF32B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sharepoint/v3/fields"/>
    <ds:schemaRef ds:uri="785387c9-1a44-48cf-b0b2-d4177fe7dfa3"/>
    <ds:schemaRef ds:uri="36e0e5ea-6b14-435f-bb9e-117d69330ed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D23306E-EF60-446B-8891-B65385FABC5E}">
  <ds:schemaRefs>
    <ds:schemaRef ds:uri="http://purl.org/dc/terms/"/>
    <ds:schemaRef ds:uri="http://purl.org/dc/elements/1.1/"/>
    <ds:schemaRef ds:uri="36e0e5ea-6b14-435f-bb9e-117d69330ed0"/>
    <ds:schemaRef ds:uri="http://schemas.microsoft.com/office/infopath/2007/PartnerControls"/>
    <ds:schemaRef ds:uri="http://schemas.microsoft.com/sharepoint/v3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785387c9-1a44-48cf-b0b2-d4177fe7dfa3"/>
    <ds:schemaRef ds:uri="http://schemas.microsoft.com/sharepoint/v3/fields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84DD16F9-A130-4053-9774-82AF9657FDA9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geral</vt:lpstr>
      <vt:lpstr>Diario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Bernasconi, Martin</dc:creator>
  <cp:keywords/>
  <dc:description/>
  <cp:lastModifiedBy>Martin Alejandro Bernasconi Martinez</cp:lastModifiedBy>
  <cp:revision/>
  <dcterms:created xsi:type="dcterms:W3CDTF">2026-08-12T12:24:30Z</dcterms:created>
  <dcterms:modified xsi:type="dcterms:W3CDTF">2026-09-22T22:38:11Z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0x010100A07BD7D885202D4B881DE965808171A2</vt:lpwstr>
  </property>
  <property fmtid="{D5CDD505-2E9C-101B-9397-08002B2CF9AE}" pid="3" name="MediaServiceImageTags">
    <vt:lpwstr/>
  </property>
</Properties>
</file>